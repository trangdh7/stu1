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2136AD9-9222-4FCD-953C-9F8938EF24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QP" sheetId="8" r:id="rId1"/>
  </sheets>
  <definedNames>
    <definedName name="_xlnm._FilterDatabase" localSheetId="0" hidden="1">EQP!$A$2:$XEM$153</definedName>
    <definedName name="_xlnm.Print_Area" localSheetId="0">EQP!#REF!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2" i="8" l="1"/>
  <c r="C82" i="8" l="1"/>
  <c r="K11" i="8" l="1"/>
</calcChain>
</file>

<file path=xl/sharedStrings.xml><?xml version="1.0" encoding="utf-8"?>
<sst xmlns="http://schemas.openxmlformats.org/spreadsheetml/2006/main" count="95" uniqueCount="72">
  <si>
    <t>Hãng SX</t>
  </si>
  <si>
    <t>ĐV</t>
  </si>
  <si>
    <t>TT</t>
  </si>
  <si>
    <t>Cái</t>
  </si>
  <si>
    <t>Mã VT</t>
  </si>
  <si>
    <t>SMC</t>
  </si>
  <si>
    <t>Tên thiết bị/hàng hóa</t>
  </si>
  <si>
    <t>SL</t>
  </si>
  <si>
    <t>CHI PHÍ TRỰC TIẾP</t>
  </si>
  <si>
    <t>Cũ</t>
  </si>
  <si>
    <t>Mới</t>
  </si>
  <si>
    <t>NCC</t>
  </si>
  <si>
    <t>Ghi chú</t>
  </si>
  <si>
    <t>Bơm màng khí nén</t>
  </si>
  <si>
    <t>DS03-AAT-TASS-02</t>
  </si>
  <si>
    <t>TDS</t>
  </si>
  <si>
    <t>Khí nén</t>
  </si>
  <si>
    <t>1.1</t>
  </si>
  <si>
    <t>1.3</t>
  </si>
  <si>
    <t>1.4</t>
  </si>
  <si>
    <t>1.5</t>
  </si>
  <si>
    <t>1.6</t>
  </si>
  <si>
    <t>1.9</t>
  </si>
  <si>
    <t>Bơm dầu vào máy</t>
  </si>
  <si>
    <t>1.8</t>
  </si>
  <si>
    <t>1.10</t>
  </si>
  <si>
    <t>DI</t>
  </si>
  <si>
    <t>DO</t>
  </si>
  <si>
    <t>PLC</t>
  </si>
  <si>
    <t>AO</t>
  </si>
  <si>
    <t>AI</t>
  </si>
  <si>
    <t>Relay</t>
  </si>
  <si>
    <t>Đầu vào bộ điều áp tổng: 1</t>
  </si>
  <si>
    <t>Ngày cần</t>
  </si>
  <si>
    <t>Bộ lọc khí A30, bao gồm cả đồ gá</t>
  </si>
  <si>
    <t>AC30-03G-D</t>
  </si>
  <si>
    <t>Van tay A30, bao gồm cả đồ gá</t>
  </si>
  <si>
    <t>VHS30-03-S-D</t>
  </si>
  <si>
    <t>Cảm biến áp suất, bao gồm cả đồ gá</t>
  </si>
  <si>
    <t>IS10M-30-6-D</t>
  </si>
  <si>
    <t>Đường cấp khí: D8
Đường ra chân không: Rc3/4</t>
  </si>
  <si>
    <t>ZL3M06</t>
  </si>
  <si>
    <t>Thông số/Chức năng</t>
  </si>
  <si>
    <t>Ren 1/4, ống D10
Lắp vào bơm màng</t>
  </si>
  <si>
    <t>Van tiết lưu</t>
  </si>
  <si>
    <t>Bộ tạo chân không</t>
  </si>
  <si>
    <t>AS2201F-02-10S</t>
  </si>
  <si>
    <t>Van điện từ 2/2 NC, điện áp 24V, ống D10</t>
  </si>
  <si>
    <t>VQ31A1-5YZ-C10-F</t>
  </si>
  <si>
    <t>Đầu nối khí L D12 ren đực 3/8</t>
  </si>
  <si>
    <t>KQ2L12-03AS</t>
  </si>
  <si>
    <t>Đầu nối khí L ren đực 3/8, 3 đầu ra D8 xoay độc lập</t>
  </si>
  <si>
    <t>Đầu ra bộ điều áp tổng: 1</t>
  </si>
  <si>
    <t>Đầu nối khí cắm ống D12</t>
  </si>
  <si>
    <t>KQ2E12-00A</t>
  </si>
  <si>
    <t>KQ2VT10-03S</t>
  </si>
  <si>
    <t>KQ2L16-04AS</t>
  </si>
  <si>
    <t>Đầu nối khí L D12 ren đực 1/2</t>
  </si>
  <si>
    <t>Đầu ra bộ tạo CK (qua 1 đầu thu ren R3/4-Rc1/2): 1
Đầu vào bình hồi: 1</t>
  </si>
  <si>
    <t>1.2</t>
  </si>
  <si>
    <t>1.7</t>
  </si>
  <si>
    <t>(Ren đực M22)</t>
  </si>
  <si>
    <t>1.11</t>
  </si>
  <si>
    <t>1.12</t>
  </si>
  <si>
    <t>Cấp khí cho bộ tạo CK: 1
Cấp khí cho bơm màng: 1</t>
  </si>
  <si>
    <t>Van điều áp AR20, kèm gá</t>
  </si>
  <si>
    <t>AR20-02BG-D</t>
  </si>
  <si>
    <t>Cấp khí vào bình đẩy: 1
Rc1/4</t>
  </si>
  <si>
    <t>Van điện từ 2/2 NC, điện áp 24V, ống D8</t>
  </si>
  <si>
    <t>VQ21A1-5YZ-C8-F</t>
  </si>
  <si>
    <t>Cấp khí bình chứa: 1
Cân bằng áp bình chứa: 1
Cấp khí vào bình đẩy: 1
Cân bằng khí bình đẩy: 1</t>
  </si>
  <si>
    <t>1.13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</si>
</sst>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(* #,##0.00_);_(* \(#,##0.00\);_(* &quot;-&quot;??_);_(@_)"/>
    <numFmt numFmtId="164" formatCode="_-&quot;$&quot;* #,##0_-;\-&quot;$&quot;* #,##0_-;_-&quot;$&quot;* &quot;-&quot;_-;_-@_-"/>
    <numFmt numFmtId="165" formatCode="_-* #,##0_-;\-* #,##0_-;_-* &quot;-&quot;_-;_-@_-"/>
    <numFmt numFmtId="166" formatCode="_-&quot;$&quot;* #,##0.00_-;\-&quot;$&quot;* #,##0.00_-;_-&quot;$&quot;* &quot;-&quot;??_-;_-@_-"/>
    <numFmt numFmtId="167" formatCode="_-* #,##0.00_-;\-* #,##0.00_-;_-* &quot;-&quot;??_-;_-@_-"/>
    <numFmt numFmtId="168" formatCode="_(* #,##0_);_(* \(#,##0\);_(* &quot;-&quot;??_);_(@_)"/>
    <numFmt numFmtId="169" formatCode="#,##0_ ;\-#,##0\ "/>
    <numFmt numFmtId="170" formatCode="\$#,##0\ ;\(\$#,##0\)"/>
    <numFmt numFmtId="171" formatCode="#,"/>
    <numFmt numFmtId="172" formatCode="#,##0\ &quot;DM&quot;;\-#,##0\ &quot;DM&quot;"/>
    <numFmt numFmtId="173" formatCode="0.000%"/>
    <numFmt numFmtId="174" formatCode="&quot;￥&quot;#,##0;&quot;￥&quot;\-#,##0"/>
    <numFmt numFmtId="175" formatCode="00.000"/>
    <numFmt numFmtId="176" formatCode="_(* #.##0.00_);_(* \(#.##0.00\);_(* &quot;-&quot;??_);_(@_)"/>
  </numFmts>
  <fonts count="29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Arial"/>
      <family val="2"/>
      <charset val="163"/>
    </font>
    <font>
      <sz val="10"/>
      <name val="Helv"/>
      <family val="2"/>
    </font>
    <font>
      <b/>
      <sz val="12"/>
      <name val="Arial"/>
      <family val="2"/>
    </font>
    <font>
      <sz val="11"/>
      <color indexed="8"/>
      <name val="Calibri"/>
      <family val="2"/>
    </font>
    <font>
      <sz val="9"/>
      <name val="Times New Roman"/>
      <family val="1"/>
    </font>
    <font>
      <b/>
      <sz val="1"/>
      <color indexed="8"/>
      <name val="Courier"/>
      <family val="3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11"/>
      <name val="돋움"/>
      <family val="3"/>
    </font>
    <font>
      <sz val="10"/>
      <name val="굴림체"/>
      <family val="3"/>
    </font>
    <font>
      <sz val="12"/>
      <name val="新細明體"/>
      <charset val="136"/>
    </font>
    <font>
      <sz val="12"/>
      <color theme="1"/>
      <name val="Times New Roman"/>
      <family val="2"/>
      <charset val="163"/>
    </font>
    <font>
      <sz val="11"/>
      <color theme="1"/>
      <name val="Calibri"/>
      <family val="2"/>
      <charset val="163"/>
      <scheme val="minor"/>
    </font>
    <font>
      <sz val="10"/>
      <name val="Helv"/>
    </font>
    <font>
      <sz val="11"/>
      <name val="ＭＳ Ｐゴシック"/>
      <charset val="128"/>
    </font>
    <font>
      <sz val="8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0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4" fillId="0" borderId="0"/>
    <xf numFmtId="0" fontId="5" fillId="0" borderId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3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10" fillId="0" borderId="0"/>
    <xf numFmtId="0" fontId="10" fillId="0" borderId="0"/>
    <xf numFmtId="2" fontId="5" fillId="0" borderId="0" applyFont="0" applyFill="0" applyBorder="0" applyAlignment="0" applyProtection="0"/>
    <xf numFmtId="0" fontId="9" fillId="0" borderId="3" applyNumberFormat="0" applyAlignment="0" applyProtection="0">
      <alignment horizontal="left" vertical="center"/>
    </xf>
    <xf numFmtId="0" fontId="9" fillId="0" borderId="2">
      <alignment horizontal="left" vertical="center"/>
    </xf>
    <xf numFmtId="171" fontId="12" fillId="0" borderId="0">
      <protection locked="0"/>
    </xf>
    <xf numFmtId="171" fontId="12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/>
    <xf numFmtId="0" fontId="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" fillId="0" borderId="0"/>
    <xf numFmtId="0" fontId="19" fillId="0" borderId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40" fontId="13" fillId="0" borderId="0" applyFont="0" applyFill="0" applyBorder="0" applyAlignment="0" applyProtection="0"/>
    <xf numFmtId="38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5" fillId="0" borderId="0"/>
    <xf numFmtId="172" fontId="16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/>
    <xf numFmtId="0" fontId="18" fillId="0" borderId="0"/>
    <xf numFmtId="165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6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20" fillId="0" borderId="0"/>
    <xf numFmtId="0" fontId="21" fillId="0" borderId="0"/>
    <xf numFmtId="0" fontId="5" fillId="0" borderId="0"/>
    <xf numFmtId="0" fontId="22" fillId="0" borderId="0">
      <alignment vertical="center"/>
    </xf>
    <xf numFmtId="0" fontId="2" fillId="0" borderId="0"/>
    <xf numFmtId="0" fontId="1" fillId="0" borderId="0"/>
    <xf numFmtId="176" fontId="5" fillId="0" borderId="0" applyFont="0" applyFill="0" applyBorder="0" applyAlignment="0" applyProtection="0"/>
  </cellStyleXfs>
  <cellXfs count="44">
    <xf numFmtId="0" fontId="0" fillId="0" borderId="0" xfId="0"/>
    <xf numFmtId="0" fontId="25" fillId="0" borderId="0" xfId="4" applyFont="1" applyAlignment="1">
      <alignment horizontal="center" vertical="center"/>
    </xf>
    <xf numFmtId="0" fontId="24" fillId="3" borderId="1" xfId="139" applyNumberFormat="1" applyFont="1" applyFill="1" applyBorder="1" applyAlignment="1">
      <alignment horizontal="center" vertical="center"/>
    </xf>
    <xf numFmtId="0" fontId="24" fillId="2" borderId="1" xfId="139" applyNumberFormat="1" applyFont="1" applyFill="1" applyBorder="1" applyAlignment="1">
      <alignment horizontal="center" vertical="center"/>
    </xf>
    <xf numFmtId="0" fontId="24" fillId="2" borderId="0" xfId="139" applyNumberFormat="1" applyFont="1" applyFill="1" applyAlignment="1">
      <alignment horizontal="center" vertical="center"/>
    </xf>
    <xf numFmtId="0" fontId="25" fillId="0" borderId="0" xfId="76" applyFont="1" applyAlignment="1">
      <alignment horizontal="left" vertical="center"/>
    </xf>
    <xf numFmtId="0" fontId="25" fillId="0" borderId="0" xfId="76" applyFont="1" applyAlignment="1">
      <alignment horizontal="center" vertical="center"/>
    </xf>
    <xf numFmtId="168" fontId="25" fillId="0" borderId="0" xfId="55" applyNumberFormat="1" applyFont="1" applyAlignment="1">
      <alignment horizontal="left" vertical="top"/>
    </xf>
    <xf numFmtId="168" fontId="25" fillId="0" borderId="0" xfId="55" applyNumberFormat="1" applyFont="1" applyAlignment="1">
      <alignment horizontal="right" vertical="top"/>
    </xf>
    <xf numFmtId="1" fontId="25" fillId="0" borderId="0" xfId="55" applyNumberFormat="1" applyFont="1" applyAlignment="1">
      <alignment horizontal="center" vertical="top"/>
    </xf>
    <xf numFmtId="0" fontId="25" fillId="0" borderId="0" xfId="76" applyFont="1" applyAlignment="1">
      <alignment vertical="center"/>
    </xf>
    <xf numFmtId="0" fontId="26" fillId="0" borderId="0" xfId="76" applyFont="1" applyAlignment="1">
      <alignment horizontal="left" vertical="top"/>
    </xf>
    <xf numFmtId="0" fontId="26" fillId="0" borderId="0" xfId="76" applyFont="1" applyAlignment="1">
      <alignment horizontal="left" vertical="center"/>
    </xf>
    <xf numFmtId="0" fontId="27" fillId="3" borderId="1" xfId="139" applyNumberFormat="1" applyFont="1" applyFill="1" applyBorder="1" applyAlignment="1">
      <alignment horizontal="center" vertical="center"/>
    </xf>
    <xf numFmtId="0" fontId="26" fillId="0" borderId="0" xfId="76" applyFont="1" applyAlignment="1">
      <alignment horizontal="center" vertical="top"/>
    </xf>
    <xf numFmtId="0" fontId="25" fillId="0" borderId="1" xfId="0" applyFont="1" applyBorder="1" applyAlignment="1">
      <alignment vertical="top" wrapText="1"/>
    </xf>
    <xf numFmtId="0" fontId="25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/>
    </xf>
    <xf numFmtId="0" fontId="24" fillId="0" borderId="1" xfId="0" applyFont="1" applyBorder="1" applyAlignment="1">
      <alignment vertical="top" wrapText="1"/>
    </xf>
    <xf numFmtId="0" fontId="24" fillId="0" borderId="1" xfId="0" applyFont="1" applyBorder="1" applyAlignment="1">
      <alignment horizontal="center" vertical="top" wrapText="1"/>
    </xf>
    <xf numFmtId="14" fontId="24" fillId="0" borderId="7" xfId="0" applyNumberFormat="1" applyFont="1" applyBorder="1" applyAlignment="1">
      <alignment horizontal="center" vertical="top" wrapText="1"/>
    </xf>
    <xf numFmtId="0" fontId="24" fillId="0" borderId="0" xfId="0" applyFont="1" applyAlignment="1">
      <alignment vertical="top" wrapText="1"/>
    </xf>
    <xf numFmtId="0" fontId="25" fillId="0" borderId="1" xfId="0" applyFont="1" applyBorder="1" applyAlignment="1">
      <alignment horizontal="center" vertical="top" wrapText="1"/>
    </xf>
    <xf numFmtId="14" fontId="25" fillId="0" borderId="7" xfId="0" applyNumberFormat="1" applyFont="1" applyBorder="1" applyAlignment="1">
      <alignment horizontal="center" vertical="top" wrapText="1"/>
    </xf>
    <xf numFmtId="0" fontId="25" fillId="0" borderId="0" xfId="0" applyFont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0" xfId="0" applyFill="1" applyAlignment="1">
      <alignment vertical="top" wrapText="1"/>
    </xf>
    <xf numFmtId="0" fontId="28" fillId="2" borderId="1" xfId="0" applyFont="1" applyFill="1" applyBorder="1" applyAlignment="1">
      <alignment vertical="top" wrapText="1"/>
    </xf>
    <xf numFmtId="0" fontId="28" fillId="2" borderId="1" xfId="0" applyFont="1" applyFill="1" applyBorder="1" applyAlignment="1">
      <alignment horizontal="center" vertical="top" wrapText="1"/>
    </xf>
    <xf numFmtId="14" fontId="28" fillId="2" borderId="7" xfId="0" applyNumberFormat="1" applyFont="1" applyFill="1" applyBorder="1" applyAlignment="1">
      <alignment horizontal="center" vertical="top" wrapText="1"/>
    </xf>
    <xf numFmtId="0" fontId="28" fillId="2" borderId="0" xfId="0" applyFont="1" applyFill="1" applyAlignment="1">
      <alignment vertical="top" wrapText="1"/>
    </xf>
    <xf numFmtId="0" fontId="27" fillId="3" borderId="5" xfId="4" applyFont="1" applyFill="1" applyBorder="1" applyAlignment="1">
      <alignment horizontal="center" vertical="center"/>
    </xf>
    <xf numFmtId="0" fontId="27" fillId="3" borderId="6" xfId="4" applyFont="1" applyFill="1" applyBorder="1" applyAlignment="1">
      <alignment horizontal="center" vertical="center"/>
    </xf>
    <xf numFmtId="0" fontId="24" fillId="3" borderId="5" xfId="4" applyFont="1" applyFill="1" applyBorder="1" applyAlignment="1">
      <alignment horizontal="center" vertical="center"/>
    </xf>
    <xf numFmtId="0" fontId="24" fillId="3" borderId="6" xfId="4" applyFont="1" applyFill="1" applyBorder="1" applyAlignment="1">
      <alignment horizontal="center" vertical="center"/>
    </xf>
    <xf numFmtId="0" fontId="24" fillId="0" borderId="4" xfId="4" applyFont="1" applyBorder="1" applyAlignment="1">
      <alignment horizontal="center" vertical="center"/>
    </xf>
    <xf numFmtId="0" fontId="24" fillId="0" borderId="2" xfId="4" applyFont="1" applyBorder="1" applyAlignment="1">
      <alignment horizontal="center" vertical="center"/>
    </xf>
    <xf numFmtId="0" fontId="24" fillId="0" borderId="7" xfId="4" applyFont="1" applyBorder="1" applyAlignment="1">
      <alignment horizontal="center" vertical="center"/>
    </xf>
    <xf numFmtId="1" fontId="24" fillId="3" borderId="1" xfId="4" applyNumberFormat="1" applyFont="1" applyFill="1" applyBorder="1" applyAlignment="1">
      <alignment horizontal="center" vertical="center"/>
    </xf>
    <xf numFmtId="0" fontId="24" fillId="3" borderId="4" xfId="139" applyNumberFormat="1" applyFont="1" applyFill="1" applyBorder="1" applyAlignment="1">
      <alignment horizontal="center" vertical="center"/>
    </xf>
    <xf numFmtId="0" fontId="24" fillId="3" borderId="7" xfId="139" applyNumberFormat="1" applyFont="1" applyFill="1" applyBorder="1" applyAlignment="1">
      <alignment horizontal="center" vertical="center"/>
    </xf>
    <xf numFmtId="0" fontId="24" fillId="3" borderId="1" xfId="4" applyFont="1" applyFill="1" applyBorder="1" applyAlignment="1">
      <alignment horizontal="center" vertical="center"/>
    </xf>
    <xf numFmtId="0" fontId="27" fillId="3" borderId="5" xfId="139" applyNumberFormat="1" applyFont="1" applyFill="1" applyBorder="1" applyAlignment="1">
      <alignment horizontal="center" vertical="center"/>
    </xf>
    <xf numFmtId="0" fontId="27" fillId="3" borderId="6" xfId="139" applyNumberFormat="1" applyFont="1" applyFill="1" applyBorder="1" applyAlignment="1">
      <alignment horizontal="center" vertical="center"/>
    </xf>
  </cellXfs>
  <cellStyles count="150">
    <cellStyle name="Comma 10 3" xfId="55" xr:uid="{00000000-0005-0000-0000-000000000000}"/>
    <cellStyle name="Comma 12" xfId="56" xr:uid="{00000000-0005-0000-0000-000001000000}"/>
    <cellStyle name="Comma 2" xfId="1" xr:uid="{00000000-0005-0000-0000-000002000000}"/>
    <cellStyle name="Comma 2 2" xfId="57" xr:uid="{00000000-0005-0000-0000-000003000000}"/>
    <cellStyle name="Comma 2 3" xfId="139" xr:uid="{00000000-0005-0000-0000-000004000000}"/>
    <cellStyle name="Comma 2 3 2" xfId="149" xr:uid="{00000000-0005-0000-0000-000005000000}"/>
    <cellStyle name="Comma 22" xfId="58" xr:uid="{00000000-0005-0000-0000-000006000000}"/>
    <cellStyle name="Comma 24" xfId="59" xr:uid="{00000000-0005-0000-0000-000007000000}"/>
    <cellStyle name="Comma 3" xfId="5" xr:uid="{00000000-0005-0000-0000-000008000000}"/>
    <cellStyle name="Comma 3 10" xfId="7" xr:uid="{00000000-0005-0000-0000-000009000000}"/>
    <cellStyle name="Comma 3 2" xfId="10" xr:uid="{00000000-0005-0000-0000-00000A000000}"/>
    <cellStyle name="Comma 3 2 2" xfId="14" xr:uid="{00000000-0005-0000-0000-00000B000000}"/>
    <cellStyle name="Comma 3 2 2 2" xfId="30" xr:uid="{00000000-0005-0000-0000-00000C000000}"/>
    <cellStyle name="Comma 3 2 2 3" xfId="42" xr:uid="{00000000-0005-0000-0000-00000D000000}"/>
    <cellStyle name="Comma 3 2 2 4" xfId="54" xr:uid="{00000000-0005-0000-0000-00000E000000}"/>
    <cellStyle name="Comma 3 2 3" xfId="18" xr:uid="{00000000-0005-0000-0000-00000F000000}"/>
    <cellStyle name="Comma 3 2 3 2" xfId="26" xr:uid="{00000000-0005-0000-0000-000010000000}"/>
    <cellStyle name="Comma 3 2 3 3" xfId="38" xr:uid="{00000000-0005-0000-0000-000011000000}"/>
    <cellStyle name="Comma 3 2 3 4" xfId="50" xr:uid="{00000000-0005-0000-0000-000012000000}"/>
    <cellStyle name="Comma 3 2 4" xfId="22" xr:uid="{00000000-0005-0000-0000-000013000000}"/>
    <cellStyle name="Comma 3 2 5" xfId="34" xr:uid="{00000000-0005-0000-0000-000014000000}"/>
    <cellStyle name="Comma 3 2 6" xfId="46" xr:uid="{00000000-0005-0000-0000-000015000000}"/>
    <cellStyle name="Comma 3 3" xfId="12" xr:uid="{00000000-0005-0000-0000-000016000000}"/>
    <cellStyle name="Comma 3 3 2" xfId="28" xr:uid="{00000000-0005-0000-0000-000017000000}"/>
    <cellStyle name="Comma 3 3 3" xfId="40" xr:uid="{00000000-0005-0000-0000-000018000000}"/>
    <cellStyle name="Comma 3 3 4" xfId="52" xr:uid="{00000000-0005-0000-0000-000019000000}"/>
    <cellStyle name="Comma 3 4" xfId="16" xr:uid="{00000000-0005-0000-0000-00001A000000}"/>
    <cellStyle name="Comma 3 4 2" xfId="24" xr:uid="{00000000-0005-0000-0000-00001B000000}"/>
    <cellStyle name="Comma 3 4 3" xfId="36" xr:uid="{00000000-0005-0000-0000-00001C000000}"/>
    <cellStyle name="Comma 3 4 4" xfId="48" xr:uid="{00000000-0005-0000-0000-00001D000000}"/>
    <cellStyle name="Comma 3 5" xfId="20" xr:uid="{00000000-0005-0000-0000-00001E000000}"/>
    <cellStyle name="Comma 3 6" xfId="32" xr:uid="{00000000-0005-0000-0000-00001F000000}"/>
    <cellStyle name="Comma 3 7" xfId="44" xr:uid="{00000000-0005-0000-0000-000020000000}"/>
    <cellStyle name="Comma 3 8" xfId="60" xr:uid="{00000000-0005-0000-0000-000021000000}"/>
    <cellStyle name="Comma 3 9" xfId="141" xr:uid="{00000000-0005-0000-0000-000022000000}"/>
    <cellStyle name="Comma 4" xfId="8" xr:uid="{00000000-0005-0000-0000-000023000000}"/>
    <cellStyle name="Comma 5" xfId="140" xr:uid="{00000000-0005-0000-0000-000024000000}"/>
    <cellStyle name="Comma0" xfId="61" xr:uid="{00000000-0005-0000-0000-000025000000}"/>
    <cellStyle name="Currency0" xfId="62" xr:uid="{00000000-0005-0000-0000-000026000000}"/>
    <cellStyle name="Date" xfId="63" xr:uid="{00000000-0005-0000-0000-000027000000}"/>
    <cellStyle name="Excel Built-in Normal" xfId="64" xr:uid="{00000000-0005-0000-0000-000028000000}"/>
    <cellStyle name="Excel Built-in Normal 2" xfId="65" xr:uid="{00000000-0005-0000-0000-000029000000}"/>
    <cellStyle name="Fixed" xfId="66" xr:uid="{00000000-0005-0000-0000-00002A000000}"/>
    <cellStyle name="Header1" xfId="67" xr:uid="{00000000-0005-0000-0000-00002B000000}"/>
    <cellStyle name="Header2" xfId="68" xr:uid="{00000000-0005-0000-0000-00002C000000}"/>
    <cellStyle name="Heading1" xfId="69" xr:uid="{00000000-0005-0000-0000-00002D000000}"/>
    <cellStyle name="Heading2" xfId="70" xr:uid="{00000000-0005-0000-0000-00002E000000}"/>
    <cellStyle name="Ledger 17 x 11 in" xfId="71" xr:uid="{00000000-0005-0000-0000-00002F000000}"/>
    <cellStyle name="Ledger 17 x 11 in 16" xfId="72" xr:uid="{00000000-0005-0000-0000-000030000000}"/>
    <cellStyle name="Ledger 17 x 11 in 2" xfId="73" xr:uid="{00000000-0005-0000-0000-000031000000}"/>
    <cellStyle name="Normal" xfId="0" builtinId="0"/>
    <cellStyle name="Normal 10 3 3 3" xfId="74" xr:uid="{00000000-0005-0000-0000-000033000000}"/>
    <cellStyle name="Normal 12 2" xfId="75" xr:uid="{00000000-0005-0000-0000-000034000000}"/>
    <cellStyle name="Normal 1466" xfId="144" xr:uid="{00000000-0005-0000-0000-000035000000}"/>
    <cellStyle name="Normal 180" xfId="76" xr:uid="{00000000-0005-0000-0000-000036000000}"/>
    <cellStyle name="Normal 194" xfId="145" xr:uid="{00000000-0005-0000-0000-000037000000}"/>
    <cellStyle name="Normal 195" xfId="77" xr:uid="{00000000-0005-0000-0000-000038000000}"/>
    <cellStyle name="Normal 197" xfId="78" xr:uid="{00000000-0005-0000-0000-000039000000}"/>
    <cellStyle name="Normal 199" xfId="79" xr:uid="{00000000-0005-0000-0000-00003A000000}"/>
    <cellStyle name="Normal 2" xfId="4" xr:uid="{00000000-0005-0000-0000-00003B000000}"/>
    <cellStyle name="Normal 2 10" xfId="81" xr:uid="{00000000-0005-0000-0000-00003C000000}"/>
    <cellStyle name="Normal 2 11" xfId="6" xr:uid="{00000000-0005-0000-0000-00003D000000}"/>
    <cellStyle name="Normal 2 2" xfId="9" xr:uid="{00000000-0005-0000-0000-00003E000000}"/>
    <cellStyle name="Normal 2 2 2" xfId="13" xr:uid="{00000000-0005-0000-0000-00003F000000}"/>
    <cellStyle name="Normal 2 2 2 2" xfId="29" xr:uid="{00000000-0005-0000-0000-000040000000}"/>
    <cellStyle name="Normal 2 2 2 3" xfId="41" xr:uid="{00000000-0005-0000-0000-000041000000}"/>
    <cellStyle name="Normal 2 2 2 4" xfId="53" xr:uid="{00000000-0005-0000-0000-000042000000}"/>
    <cellStyle name="Normal 2 2 3" xfId="17" xr:uid="{00000000-0005-0000-0000-000043000000}"/>
    <cellStyle name="Normal 2 2 3 2" xfId="25" xr:uid="{00000000-0005-0000-0000-000044000000}"/>
    <cellStyle name="Normal 2 2 3 3" xfId="37" xr:uid="{00000000-0005-0000-0000-000045000000}"/>
    <cellStyle name="Normal 2 2 3 4" xfId="49" xr:uid="{00000000-0005-0000-0000-000046000000}"/>
    <cellStyle name="Normal 2 2 4" xfId="21" xr:uid="{00000000-0005-0000-0000-000047000000}"/>
    <cellStyle name="Normal 2 2 5" xfId="33" xr:uid="{00000000-0005-0000-0000-000048000000}"/>
    <cellStyle name="Normal 2 2 6" xfId="45" xr:uid="{00000000-0005-0000-0000-000049000000}"/>
    <cellStyle name="Normal 2 3" xfId="11" xr:uid="{00000000-0005-0000-0000-00004A000000}"/>
    <cellStyle name="Normal 2 3 2" xfId="27" xr:uid="{00000000-0005-0000-0000-00004B000000}"/>
    <cellStyle name="Normal 2 3 3" xfId="39" xr:uid="{00000000-0005-0000-0000-00004C000000}"/>
    <cellStyle name="Normal 2 3 4" xfId="51" xr:uid="{00000000-0005-0000-0000-00004D000000}"/>
    <cellStyle name="Normal 2 4" xfId="15" xr:uid="{00000000-0005-0000-0000-00004E000000}"/>
    <cellStyle name="Normal 2 4 2" xfId="23" xr:uid="{00000000-0005-0000-0000-00004F000000}"/>
    <cellStyle name="Normal 2 4 3" xfId="35" xr:uid="{00000000-0005-0000-0000-000050000000}"/>
    <cellStyle name="Normal 2 4 4" xfId="47" xr:uid="{00000000-0005-0000-0000-000051000000}"/>
    <cellStyle name="Normal 2 5" xfId="19" xr:uid="{00000000-0005-0000-0000-000052000000}"/>
    <cellStyle name="Normal 2 6" xfId="31" xr:uid="{00000000-0005-0000-0000-000053000000}"/>
    <cellStyle name="Normal 2 7" xfId="43" xr:uid="{00000000-0005-0000-0000-000054000000}"/>
    <cellStyle name="Normal 2 8" xfId="80" xr:uid="{00000000-0005-0000-0000-000055000000}"/>
    <cellStyle name="Normal 2 9" xfId="142" xr:uid="{00000000-0005-0000-0000-000056000000}"/>
    <cellStyle name="Normal 208 2" xfId="82" xr:uid="{00000000-0005-0000-0000-000057000000}"/>
    <cellStyle name="Normal 209" xfId="83" xr:uid="{00000000-0005-0000-0000-000058000000}"/>
    <cellStyle name="Normal 209 2" xfId="84" xr:uid="{00000000-0005-0000-0000-000059000000}"/>
    <cellStyle name="Normal 21" xfId="85" xr:uid="{00000000-0005-0000-0000-00005A000000}"/>
    <cellStyle name="Normal 21 2" xfId="86" xr:uid="{00000000-0005-0000-0000-00005B000000}"/>
    <cellStyle name="Normal 21 3" xfId="87" xr:uid="{00000000-0005-0000-0000-00005C000000}"/>
    <cellStyle name="Normal 22" xfId="88" xr:uid="{00000000-0005-0000-0000-00005D000000}"/>
    <cellStyle name="Normal 238" xfId="89" xr:uid="{00000000-0005-0000-0000-00005E000000}"/>
    <cellStyle name="Normal 239" xfId="90" xr:uid="{00000000-0005-0000-0000-00005F000000}"/>
    <cellStyle name="Normal 240" xfId="91" xr:uid="{00000000-0005-0000-0000-000060000000}"/>
    <cellStyle name="Normal 26" xfId="92" xr:uid="{00000000-0005-0000-0000-000061000000}"/>
    <cellStyle name="Normal 260" xfId="93" xr:uid="{00000000-0005-0000-0000-000062000000}"/>
    <cellStyle name="Normal 261" xfId="94" xr:uid="{00000000-0005-0000-0000-000063000000}"/>
    <cellStyle name="Normal 264" xfId="95" xr:uid="{00000000-0005-0000-0000-000064000000}"/>
    <cellStyle name="Normal 265" xfId="96" xr:uid="{00000000-0005-0000-0000-000065000000}"/>
    <cellStyle name="Normal 266" xfId="97" xr:uid="{00000000-0005-0000-0000-000066000000}"/>
    <cellStyle name="Normal 267" xfId="98" xr:uid="{00000000-0005-0000-0000-000067000000}"/>
    <cellStyle name="Normal 269" xfId="99" xr:uid="{00000000-0005-0000-0000-000068000000}"/>
    <cellStyle name="Normal 271" xfId="100" xr:uid="{00000000-0005-0000-0000-000069000000}"/>
    <cellStyle name="Normal 272" xfId="101" xr:uid="{00000000-0005-0000-0000-00006A000000}"/>
    <cellStyle name="Normal 273" xfId="102" xr:uid="{00000000-0005-0000-0000-00006B000000}"/>
    <cellStyle name="Normal 274" xfId="103" xr:uid="{00000000-0005-0000-0000-00006C000000}"/>
    <cellStyle name="Normal 276" xfId="104" xr:uid="{00000000-0005-0000-0000-00006D000000}"/>
    <cellStyle name="Normal 277" xfId="105" xr:uid="{00000000-0005-0000-0000-00006E000000}"/>
    <cellStyle name="Normal 278" xfId="106" xr:uid="{00000000-0005-0000-0000-00006F000000}"/>
    <cellStyle name="Normal 279" xfId="107" xr:uid="{00000000-0005-0000-0000-000070000000}"/>
    <cellStyle name="Normal 28" xfId="108" xr:uid="{00000000-0005-0000-0000-000071000000}"/>
    <cellStyle name="Normal 281" xfId="109" xr:uid="{00000000-0005-0000-0000-000072000000}"/>
    <cellStyle name="Normal 282" xfId="110" xr:uid="{00000000-0005-0000-0000-000073000000}"/>
    <cellStyle name="Normal 285" xfId="111" xr:uid="{00000000-0005-0000-0000-000074000000}"/>
    <cellStyle name="Normal 286" xfId="112" xr:uid="{00000000-0005-0000-0000-000075000000}"/>
    <cellStyle name="Normal 287" xfId="113" xr:uid="{00000000-0005-0000-0000-000076000000}"/>
    <cellStyle name="Normal 288" xfId="114" xr:uid="{00000000-0005-0000-0000-000077000000}"/>
    <cellStyle name="Normal 289" xfId="115" xr:uid="{00000000-0005-0000-0000-000078000000}"/>
    <cellStyle name="Normal 3" xfId="2" xr:uid="{00000000-0005-0000-0000-000079000000}"/>
    <cellStyle name="Normal 4" xfId="3" xr:uid="{00000000-0005-0000-0000-00007A000000}"/>
    <cellStyle name="Normal 5" xfId="147" xr:uid="{00000000-0005-0000-0000-00007B000000}"/>
    <cellStyle name="Normal 5 2" xfId="143" xr:uid="{00000000-0005-0000-0000-00007C000000}"/>
    <cellStyle name="Normal 5 3" xfId="148" xr:uid="{00000000-0005-0000-0000-00007D000000}"/>
    <cellStyle name="Normal 50" xfId="116" xr:uid="{00000000-0005-0000-0000-00007E000000}"/>
    <cellStyle name="Normal 6 6" xfId="117" xr:uid="{00000000-0005-0000-0000-00007F000000}"/>
    <cellStyle name="Percent 2" xfId="118" xr:uid="{00000000-0005-0000-0000-000080000000}"/>
    <cellStyle name="Percent 3" xfId="119" xr:uid="{00000000-0005-0000-0000-000081000000}"/>
    <cellStyle name="Standard_Eröffnungsbeleg - Massenanlage" xfId="120" xr:uid="{00000000-0005-0000-0000-000082000000}"/>
    <cellStyle name="Style 1" xfId="121" xr:uid="{00000000-0005-0000-0000-000083000000}"/>
    <cellStyle name="Style 1 3" xfId="122" xr:uid="{00000000-0005-0000-0000-000084000000}"/>
    <cellStyle name="똿뗦먛귟 [0.00]_PRODUCT DETAIL Q1" xfId="123" xr:uid="{00000000-0005-0000-0000-000085000000}"/>
    <cellStyle name="똿뗦먛귟_PRODUCT DETAIL Q1" xfId="124" xr:uid="{00000000-0005-0000-0000-000086000000}"/>
    <cellStyle name="믅됞 [0.00]_PRODUCT DETAIL Q1" xfId="125" xr:uid="{00000000-0005-0000-0000-000087000000}"/>
    <cellStyle name="믅됞_PRODUCT DETAIL Q1" xfId="126" xr:uid="{00000000-0005-0000-0000-000088000000}"/>
    <cellStyle name="백분율_95" xfId="127" xr:uid="{00000000-0005-0000-0000-000089000000}"/>
    <cellStyle name="뷭?_BOOKSHIP" xfId="128" xr:uid="{00000000-0005-0000-0000-00008A000000}"/>
    <cellStyle name="콤마 [0]_1202" xfId="129" xr:uid="{00000000-0005-0000-0000-00008B000000}"/>
    <cellStyle name="콤마_1202" xfId="130" xr:uid="{00000000-0005-0000-0000-00008C000000}"/>
    <cellStyle name="통화 [0]_1202" xfId="131" xr:uid="{00000000-0005-0000-0000-00008D000000}"/>
    <cellStyle name="통화_1202" xfId="132" xr:uid="{00000000-0005-0000-0000-00008E000000}"/>
    <cellStyle name="표준_(정보부문)월별인원계획" xfId="133" xr:uid="{00000000-0005-0000-0000-00008F000000}"/>
    <cellStyle name="一般_Book1" xfId="134" xr:uid="{00000000-0005-0000-0000-000090000000}"/>
    <cellStyle name="千分位[0]_Book1" xfId="135" xr:uid="{00000000-0005-0000-0000-000091000000}"/>
    <cellStyle name="千分位_Book1" xfId="136" xr:uid="{00000000-0005-0000-0000-000092000000}"/>
    <cellStyle name="標準_Sheet1" xfId="146" xr:uid="{00000000-0005-0000-0000-000093000000}"/>
    <cellStyle name="貨幣 [0]_Book1" xfId="137" xr:uid="{00000000-0005-0000-0000-000094000000}"/>
    <cellStyle name="貨幣_Book1" xfId="138" xr:uid="{00000000-0005-0000-0000-000095000000}"/>
  </cellStyles>
  <dxfs count="2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153</xdr:row>
      <xdr:rowOff>0</xdr:rowOff>
    </xdr:from>
    <xdr:to>
      <xdr:col>0</xdr:col>
      <xdr:colOff>0</xdr:colOff>
      <xdr:row>153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E3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0</xdr:colOff>
      <xdr:row>153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000-0000E4010100}"/>
            </a:ext>
          </a:extLst>
        </xdr:cNvPr>
        <xdr:cNvGrpSpPr>
          <a:grpSpLocks/>
        </xdr:cNvGrpSpPr>
      </xdr:nvGrpSpPr>
      <xdr:grpSpPr bwMode="auto">
        <a:xfrm>
          <a:off x="0" y="32202120"/>
          <a:ext cx="0" cy="0"/>
          <a:chOff x="364" y="73"/>
          <a:chExt cx="732" cy="19"/>
        </a:xfrm>
      </xdr:grpSpPr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00000000-0008-0000-0000-0000E9010100}"/>
              </a:ext>
            </a:extLst>
          </xdr:cNvPr>
          <xdr:cNvSpPr>
            <a:spLocks noChangeArrowheads="1"/>
          </xdr:cNvSpPr>
        </xdr:nvSpPr>
        <xdr:spPr bwMode="auto">
          <a:xfrm>
            <a:off x="364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000-0000EA010100}"/>
              </a:ext>
            </a:extLst>
          </xdr:cNvPr>
          <xdr:cNvSpPr>
            <a:spLocks noChangeArrowheads="1"/>
          </xdr:cNvSpPr>
        </xdr:nvSpPr>
        <xdr:spPr bwMode="auto">
          <a:xfrm>
            <a:off x="578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EB010100}"/>
              </a:ext>
            </a:extLst>
          </xdr:cNvPr>
          <xdr:cNvSpPr>
            <a:spLocks noChangeArrowheads="1"/>
          </xdr:cNvSpPr>
        </xdr:nvSpPr>
        <xdr:spPr bwMode="auto">
          <a:xfrm>
            <a:off x="748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00000000-0008-0000-0000-0000EC010100}"/>
              </a:ext>
            </a:extLst>
          </xdr:cNvPr>
          <xdr:cNvSpPr>
            <a:spLocks noChangeArrowheads="1"/>
          </xdr:cNvSpPr>
        </xdr:nvSpPr>
        <xdr:spPr bwMode="auto">
          <a:xfrm>
            <a:off x="913" y="74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00000000-0008-0000-0000-0000ED010100}"/>
              </a:ext>
            </a:extLst>
          </xdr:cNvPr>
          <xdr:cNvSpPr>
            <a:spLocks noChangeArrowheads="1"/>
          </xdr:cNvSpPr>
        </xdr:nvSpPr>
        <xdr:spPr bwMode="auto">
          <a:xfrm>
            <a:off x="1077" y="73"/>
            <a:ext cx="19" cy="18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0</xdr:colOff>
      <xdr:row>153</xdr:row>
      <xdr:rowOff>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E5010100}"/>
            </a:ext>
          </a:extLst>
        </xdr:cNvPr>
        <xdr:cNvSpPr>
          <a:spLocks noChangeArrowheads="1"/>
        </xdr:cNvSpPr>
      </xdr:nvSpPr>
      <xdr:spPr bwMode="auto">
        <a:xfrm>
          <a:off x="0" y="32004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53"/>
  <sheetViews>
    <sheetView showGridLines="0" tabSelected="1" zoomScaleNormal="100" zoomScaleSheetLayoutView="100" zoomScalePageLayoutView="115" workbookViewId="0">
      <pane xSplit="5" ySplit="2" topLeftCell="F8" activePane="bottomRight" state="frozen"/>
      <selection pane="topRight" activeCell="E1" sqref="E1"/>
      <selection pane="bottomLeft" activeCell="A3" sqref="A3"/>
      <selection pane="bottomRight" activeCell="I20" sqref="I20"/>
    </sheetView>
  </sheetViews>
  <sheetFormatPr defaultColWidth="9.109375" defaultRowHeight="15.6"/>
  <cols>
    <col min="1" max="1" width="6.6640625" style="5" customWidth="1"/>
    <col min="2" max="2" width="45" style="11" customWidth="1"/>
    <col min="3" max="3" width="38.33203125" style="11" customWidth="1"/>
    <col min="4" max="4" width="25.109375" style="12" customWidth="1"/>
    <col min="5" max="5" width="15.44140625" style="12" customWidth="1"/>
    <col min="6" max="6" width="9.5546875" style="12" customWidth="1"/>
    <col min="7" max="7" width="6.6640625" style="6" customWidth="1"/>
    <col min="8" max="8" width="7.44140625" style="14" customWidth="1"/>
    <col min="9" max="9" width="19.109375" style="14" customWidth="1"/>
    <col min="10" max="10" width="16.6640625" style="7" customWidth="1"/>
    <col min="11" max="11" width="14.6640625" style="8" customWidth="1"/>
    <col min="12" max="15" width="6.33203125" style="6" customWidth="1"/>
    <col min="16" max="16" width="7.88671875" style="9" customWidth="1"/>
    <col min="17" max="16384" width="9.109375" style="10"/>
  </cols>
  <sheetData>
    <row r="1" spans="1:16" s="1" customFormat="1">
      <c r="A1" s="33" t="s">
        <v>2</v>
      </c>
      <c r="B1" s="31" t="s">
        <v>6</v>
      </c>
      <c r="C1" s="31" t="s">
        <v>42</v>
      </c>
      <c r="D1" s="31" t="s">
        <v>4</v>
      </c>
      <c r="E1" s="31" t="s">
        <v>0</v>
      </c>
      <c r="F1" s="31" t="s">
        <v>1</v>
      </c>
      <c r="G1" s="39" t="s">
        <v>7</v>
      </c>
      <c r="H1" s="40"/>
      <c r="I1" s="42" t="s">
        <v>33</v>
      </c>
      <c r="J1" s="33" t="s">
        <v>11</v>
      </c>
      <c r="K1" s="41" t="s">
        <v>12</v>
      </c>
      <c r="L1" s="35" t="s">
        <v>28</v>
      </c>
      <c r="M1" s="36"/>
      <c r="N1" s="36"/>
      <c r="O1" s="37"/>
      <c r="P1" s="38" t="s">
        <v>31</v>
      </c>
    </row>
    <row r="2" spans="1:16" s="4" customFormat="1">
      <c r="A2" s="34">
        <v>1</v>
      </c>
      <c r="B2" s="32" t="s">
        <v>8</v>
      </c>
      <c r="C2" s="32"/>
      <c r="D2" s="32"/>
      <c r="E2" s="32"/>
      <c r="F2" s="32"/>
      <c r="G2" s="2" t="s">
        <v>9</v>
      </c>
      <c r="H2" s="13" t="s">
        <v>10</v>
      </c>
      <c r="I2" s="43"/>
      <c r="J2" s="34"/>
      <c r="K2" s="41"/>
      <c r="L2" s="3" t="s">
        <v>26</v>
      </c>
      <c r="M2" s="3" t="s">
        <v>27</v>
      </c>
      <c r="N2" s="3" t="s">
        <v>30</v>
      </c>
      <c r="O2" s="3" t="s">
        <v>29</v>
      </c>
      <c r="P2" s="38"/>
    </row>
    <row r="3" spans="1:16" s="21" customFormat="1">
      <c r="A3" s="17">
        <v>1</v>
      </c>
      <c r="B3" s="18" t="s">
        <v>16</v>
      </c>
      <c r="C3" s="18"/>
      <c r="D3" s="18"/>
      <c r="E3" s="18"/>
      <c r="F3" s="18"/>
      <c r="G3" s="19"/>
      <c r="H3" s="19"/>
      <c r="I3" s="19"/>
      <c r="J3" s="18"/>
      <c r="K3" s="18"/>
      <c r="L3" s="18"/>
      <c r="M3" s="18"/>
      <c r="N3" s="18"/>
      <c r="O3" s="20"/>
    </row>
    <row r="4" spans="1:16" s="24" customFormat="1">
      <c r="A4" s="16" t="s">
        <v>17</v>
      </c>
      <c r="B4" s="15" t="s">
        <v>13</v>
      </c>
      <c r="C4" s="15" t="s">
        <v>23</v>
      </c>
      <c r="D4" s="15" t="s">
        <v>14</v>
      </c>
      <c r="E4" s="15" t="s">
        <v>15</v>
      </c>
      <c r="F4" s="15" t="s">
        <v>3</v>
      </c>
      <c r="G4" s="22"/>
      <c r="H4" s="22">
        <v>1</v>
      </c>
      <c r="I4" s="22"/>
      <c r="J4" s="15"/>
      <c r="K4" s="15"/>
      <c r="L4" s="15"/>
      <c r="M4" s="15"/>
      <c r="N4" s="15"/>
      <c r="O4" s="23"/>
    </row>
    <row r="5" spans="1:16" s="24" customFormat="1">
      <c r="A5" s="16" t="s">
        <v>59</v>
      </c>
      <c r="B5" s="15" t="s">
        <v>34</v>
      </c>
      <c r="C5" s="15"/>
      <c r="D5" s="15" t="s">
        <v>35</v>
      </c>
      <c r="E5" s="15" t="s">
        <v>5</v>
      </c>
      <c r="F5" s="15" t="s">
        <v>3</v>
      </c>
      <c r="G5" s="22"/>
      <c r="H5" s="22">
        <v>1</v>
      </c>
      <c r="I5" s="22"/>
      <c r="J5" s="15"/>
      <c r="K5" s="15"/>
      <c r="L5" s="15"/>
      <c r="M5" s="15"/>
      <c r="N5" s="15"/>
      <c r="O5" s="23"/>
    </row>
    <row r="6" spans="1:16" s="24" customFormat="1">
      <c r="A6" s="16" t="s">
        <v>18</v>
      </c>
      <c r="B6" s="15" t="s">
        <v>36</v>
      </c>
      <c r="C6" s="15"/>
      <c r="D6" s="15" t="s">
        <v>37</v>
      </c>
      <c r="E6" s="15" t="s">
        <v>5</v>
      </c>
      <c r="F6" s="15" t="s">
        <v>3</v>
      </c>
      <c r="G6" s="22">
        <v>4</v>
      </c>
      <c r="H6" s="22">
        <v>1</v>
      </c>
      <c r="I6" s="22"/>
      <c r="J6" s="15"/>
      <c r="K6" s="15"/>
      <c r="L6" s="15"/>
      <c r="M6" s="15"/>
      <c r="N6" s="15"/>
      <c r="O6" s="23"/>
    </row>
    <row r="7" spans="1:16" s="24" customFormat="1">
      <c r="A7" s="16" t="s">
        <v>19</v>
      </c>
      <c r="B7" s="15" t="s">
        <v>38</v>
      </c>
      <c r="C7" s="15"/>
      <c r="D7" s="15" t="s">
        <v>39</v>
      </c>
      <c r="E7" s="15" t="s">
        <v>5</v>
      </c>
      <c r="F7" s="15" t="s">
        <v>3</v>
      </c>
      <c r="G7" s="22"/>
      <c r="H7" s="22">
        <v>1</v>
      </c>
      <c r="I7" s="22"/>
      <c r="J7" s="15"/>
      <c r="K7" s="15"/>
      <c r="L7" s="15"/>
      <c r="M7" s="15"/>
      <c r="N7" s="15"/>
      <c r="O7" s="23"/>
    </row>
    <row r="8" spans="1:16" s="24" customFormat="1" ht="31.2">
      <c r="A8" s="16" t="s">
        <v>20</v>
      </c>
      <c r="B8" s="15" t="s">
        <v>65</v>
      </c>
      <c r="C8" s="15" t="s">
        <v>67</v>
      </c>
      <c r="D8" s="15" t="s">
        <v>66</v>
      </c>
      <c r="E8" s="15" t="s">
        <v>5</v>
      </c>
      <c r="F8" s="15" t="s">
        <v>3</v>
      </c>
      <c r="G8" s="22"/>
      <c r="H8" s="22">
        <v>1</v>
      </c>
      <c r="I8" s="22"/>
      <c r="J8" s="15"/>
      <c r="K8" s="15"/>
      <c r="L8" s="15"/>
      <c r="M8" s="15"/>
      <c r="N8" s="15"/>
      <c r="O8" s="23"/>
    </row>
    <row r="9" spans="1:16" s="24" customFormat="1" ht="31.2">
      <c r="A9" s="16" t="s">
        <v>21</v>
      </c>
      <c r="B9" s="15" t="s">
        <v>44</v>
      </c>
      <c r="C9" s="15" t="s">
        <v>43</v>
      </c>
      <c r="D9" s="15" t="s">
        <v>46</v>
      </c>
      <c r="E9" s="15" t="s">
        <v>5</v>
      </c>
      <c r="F9" s="15" t="s">
        <v>3</v>
      </c>
      <c r="G9" s="22"/>
      <c r="H9" s="22">
        <v>1</v>
      </c>
      <c r="I9" s="22"/>
      <c r="J9" s="15"/>
      <c r="K9" s="15"/>
      <c r="L9" s="15"/>
      <c r="M9" s="15"/>
      <c r="N9" s="15"/>
      <c r="O9" s="23"/>
    </row>
    <row r="10" spans="1:16" s="24" customFormat="1" ht="31.2">
      <c r="A10" s="16" t="s">
        <v>60</v>
      </c>
      <c r="B10" s="15" t="s">
        <v>45</v>
      </c>
      <c r="C10" s="15" t="s">
        <v>40</v>
      </c>
      <c r="D10" s="15" t="s">
        <v>41</v>
      </c>
      <c r="E10" s="15" t="s">
        <v>5</v>
      </c>
      <c r="F10" s="15" t="s">
        <v>3</v>
      </c>
      <c r="G10" s="22"/>
      <c r="H10" s="22">
        <v>1</v>
      </c>
      <c r="I10" s="22"/>
      <c r="J10" s="15"/>
      <c r="K10" s="15"/>
      <c r="L10" s="15"/>
      <c r="M10" s="15"/>
      <c r="N10" s="15"/>
      <c r="O10" s="23"/>
    </row>
    <row r="11" spans="1:16" s="24" customFormat="1" ht="31.2">
      <c r="A11" s="16" t="s">
        <v>24</v>
      </c>
      <c r="B11" s="15" t="s">
        <v>47</v>
      </c>
      <c r="C11" s="15" t="s">
        <v>64</v>
      </c>
      <c r="D11" s="15" t="s">
        <v>48</v>
      </c>
      <c r="E11" s="15" t="s">
        <v>5</v>
      </c>
      <c r="F11" s="15" t="s">
        <v>3</v>
      </c>
      <c r="G11" s="22"/>
      <c r="H11" s="22">
        <v>2</v>
      </c>
      <c r="I11" s="22"/>
      <c r="J11" s="15"/>
      <c r="K11" s="15">
        <f t="shared" ref="K11" si="0">G11/4</f>
        <v>0</v>
      </c>
      <c r="L11" s="15"/>
      <c r="M11" s="15"/>
      <c r="N11" s="15"/>
      <c r="O11" s="23"/>
    </row>
    <row r="12" spans="1:16" s="30" customFormat="1" ht="57.6">
      <c r="A12" s="16" t="s">
        <v>22</v>
      </c>
      <c r="B12" s="27" t="s">
        <v>68</v>
      </c>
      <c r="C12" s="27" t="s">
        <v>70</v>
      </c>
      <c r="D12" s="27" t="s">
        <v>69</v>
      </c>
      <c r="E12" s="27" t="s">
        <v>5</v>
      </c>
      <c r="F12" s="27" t="s">
        <v>3</v>
      </c>
      <c r="G12" s="28">
        <v>2</v>
      </c>
      <c r="H12" s="28">
        <v>4</v>
      </c>
      <c r="I12" s="28"/>
      <c r="J12" s="27"/>
      <c r="K12" s="27"/>
      <c r="L12" s="25">
        <f t="shared" ref="L12" si="1">H12/4</f>
        <v>1</v>
      </c>
      <c r="M12" s="27"/>
      <c r="N12" s="27"/>
      <c r="O12" s="29"/>
    </row>
    <row r="13" spans="1:16" s="24" customFormat="1">
      <c r="A13" s="16" t="s">
        <v>25</v>
      </c>
      <c r="B13" s="15" t="s">
        <v>49</v>
      </c>
      <c r="C13" s="15" t="s">
        <v>32</v>
      </c>
      <c r="D13" s="15" t="s">
        <v>50</v>
      </c>
      <c r="E13" s="15" t="s">
        <v>5</v>
      </c>
      <c r="F13" s="15" t="s">
        <v>3</v>
      </c>
      <c r="G13" s="22"/>
      <c r="H13" s="22">
        <v>1</v>
      </c>
      <c r="I13" s="22"/>
      <c r="J13" s="15"/>
      <c r="K13" s="15"/>
      <c r="L13" s="15"/>
      <c r="M13" s="15"/>
      <c r="N13" s="15"/>
      <c r="O13" s="23"/>
    </row>
    <row r="14" spans="1:16" s="24" customFormat="1" ht="31.2">
      <c r="A14" s="16" t="s">
        <v>62</v>
      </c>
      <c r="B14" s="15" t="s">
        <v>51</v>
      </c>
      <c r="C14" s="15" t="s">
        <v>52</v>
      </c>
      <c r="D14" s="15" t="s">
        <v>55</v>
      </c>
      <c r="E14" s="15" t="s">
        <v>5</v>
      </c>
      <c r="F14" s="15" t="s">
        <v>3</v>
      </c>
      <c r="G14" s="22"/>
      <c r="H14" s="22">
        <v>1</v>
      </c>
      <c r="I14" s="22"/>
      <c r="J14" s="15"/>
      <c r="K14" s="15"/>
      <c r="L14" s="15"/>
      <c r="M14" s="15"/>
      <c r="N14" s="15"/>
      <c r="O14" s="23"/>
    </row>
    <row r="15" spans="1:16" s="24" customFormat="1" ht="46.8">
      <c r="A15" s="16" t="s">
        <v>63</v>
      </c>
      <c r="B15" s="15" t="s">
        <v>57</v>
      </c>
      <c r="C15" s="15" t="s">
        <v>58</v>
      </c>
      <c r="D15" s="15" t="s">
        <v>56</v>
      </c>
      <c r="E15" s="15" t="s">
        <v>5</v>
      </c>
      <c r="F15" s="15" t="s">
        <v>3</v>
      </c>
      <c r="G15" s="22"/>
      <c r="H15" s="22">
        <v>2</v>
      </c>
      <c r="I15" s="22"/>
      <c r="J15" s="15"/>
      <c r="K15" s="15"/>
      <c r="L15" s="15"/>
      <c r="M15" s="15"/>
      <c r="N15" s="15"/>
      <c r="O15" s="23"/>
    </row>
    <row r="16" spans="1:16" s="24" customFormat="1">
      <c r="A16" s="16" t="s">
        <v>71</v>
      </c>
      <c r="B16" s="15" t="s">
        <v>53</v>
      </c>
      <c r="C16" s="15" t="s">
        <v>61</v>
      </c>
      <c r="D16" s="15" t="s">
        <v>54</v>
      </c>
      <c r="E16" s="15" t="s">
        <v>5</v>
      </c>
      <c r="F16" s="15" t="s">
        <v>3</v>
      </c>
      <c r="G16" s="22"/>
      <c r="H16" s="22">
        <v>0</v>
      </c>
      <c r="I16" s="22"/>
      <c r="J16" s="15"/>
      <c r="K16" s="15">
        <v>0</v>
      </c>
      <c r="L16" s="15"/>
      <c r="M16" s="15"/>
      <c r="N16" s="15"/>
      <c r="O16" s="23"/>
    </row>
    <row r="17" s="24" customFormat="1"/>
    <row r="18" s="24" customFormat="1"/>
    <row r="19" s="24" customFormat="1"/>
    <row r="20" s="24" customFormat="1"/>
    <row r="21" s="24" customFormat="1"/>
    <row r="22" s="24" customFormat="1"/>
    <row r="23" s="24" customFormat="1"/>
    <row r="24" s="24" customFormat="1"/>
    <row r="25" s="24" customFormat="1"/>
    <row r="26" s="24" customFormat="1"/>
    <row r="27" s="24" customFormat="1"/>
    <row r="28" s="24" customFormat="1"/>
    <row r="29" s="24" customFormat="1"/>
    <row r="30" s="24" customFormat="1"/>
    <row r="31" s="24" customFormat="1"/>
    <row r="32" s="24" customFormat="1"/>
    <row r="33" s="24" customFormat="1"/>
    <row r="34" s="24" customFormat="1"/>
    <row r="35" s="24" customFormat="1"/>
    <row r="36" s="24" customFormat="1"/>
    <row r="37" s="24" customFormat="1"/>
    <row r="38" s="24" customFormat="1"/>
    <row r="39" s="24" customFormat="1"/>
    <row r="40" s="24" customFormat="1"/>
    <row r="41" s="24" customFormat="1"/>
    <row r="42" s="24" customFormat="1"/>
    <row r="43" s="24" customFormat="1"/>
    <row r="44" s="24" customFormat="1"/>
    <row r="45" s="24" customFormat="1"/>
    <row r="46" s="24" customFormat="1"/>
    <row r="47" s="24" customFormat="1"/>
    <row r="48" s="24" customFormat="1"/>
    <row r="49" s="24" customFormat="1"/>
    <row r="50" s="24" customFormat="1"/>
    <row r="51" s="24" customFormat="1"/>
    <row r="52" s="24" customFormat="1"/>
    <row r="53" s="24" customFormat="1"/>
    <row r="54" s="24" customFormat="1"/>
    <row r="55" s="24" customFormat="1"/>
    <row r="56" s="24" customFormat="1"/>
    <row r="57" s="24" customFormat="1"/>
    <row r="58" s="24" customFormat="1"/>
    <row r="59" s="24" customFormat="1"/>
    <row r="60" s="24" customFormat="1"/>
    <row r="61" s="24" customFormat="1"/>
    <row r="62" s="24" customFormat="1"/>
    <row r="63" s="24" customFormat="1"/>
    <row r="64" s="24" customFormat="1"/>
    <row r="65" spans="5:5" s="24" customFormat="1"/>
    <row r="66" spans="5:5" s="21" customFormat="1"/>
    <row r="67" spans="5:5" s="24" customFormat="1"/>
    <row r="68" spans="5:5" s="24" customFormat="1"/>
    <row r="69" spans="5:5" s="24" customFormat="1"/>
    <row r="70" spans="5:5" s="24" customFormat="1"/>
    <row r="71" spans="5:5" s="24" customFormat="1"/>
    <row r="72" spans="5:5" s="24" customFormat="1"/>
    <row r="73" spans="5:5" s="24" customFormat="1"/>
    <row r="74" spans="5:5" s="24" customFormat="1"/>
    <row r="75" spans="5:5" s="24" customFormat="1"/>
    <row r="76" spans="5:5" s="24" customFormat="1">
      <c r="E76" s="24">
        <v>0</v>
      </c>
    </row>
    <row r="77" spans="5:5" s="24" customFormat="1"/>
    <row r="78" spans="5:5" s="24" customFormat="1"/>
    <row r="79" spans="5:5" s="24" customFormat="1"/>
    <row r="80" spans="5:5" s="24" customFormat="1"/>
    <row r="81" spans="3:5" s="24" customFormat="1">
      <c r="E81" s="24">
        <v>0</v>
      </c>
    </row>
    <row r="82" spans="3:5" s="24" customFormat="1">
      <c r="C82" s="24">
        <f>B82</f>
        <v>0</v>
      </c>
    </row>
    <row r="83" spans="3:5" s="24" customFormat="1"/>
    <row r="84" spans="3:5" s="24" customFormat="1">
      <c r="E84" s="24">
        <v>3</v>
      </c>
    </row>
    <row r="85" spans="3:5" s="24" customFormat="1"/>
    <row r="86" spans="3:5" s="21" customFormat="1"/>
    <row r="87" spans="3:5" s="21" customFormat="1"/>
    <row r="88" spans="3:5" s="24" customFormat="1"/>
    <row r="89" spans="3:5" s="24" customFormat="1"/>
    <row r="90" spans="3:5" s="24" customFormat="1"/>
    <row r="91" spans="3:5" s="24" customFormat="1"/>
    <row r="92" spans="3:5" s="24" customFormat="1"/>
    <row r="93" spans="3:5" s="24" customFormat="1"/>
    <row r="94" spans="3:5" s="24" customFormat="1"/>
    <row r="95" spans="3:5" s="21" customFormat="1"/>
    <row r="96" spans="3:5" s="24" customFormat="1"/>
    <row r="97" s="24" customFormat="1"/>
    <row r="98" s="24" customFormat="1"/>
    <row r="99" s="24" customFormat="1"/>
    <row r="100" s="24" customFormat="1"/>
    <row r="101" s="24" customFormat="1"/>
    <row r="102" s="24" customFormat="1"/>
    <row r="103" s="24" customFormat="1"/>
    <row r="104" s="24" customFormat="1"/>
    <row r="105" s="24" customFormat="1"/>
    <row r="106" s="24" customFormat="1"/>
    <row r="107" s="24" customFormat="1"/>
    <row r="108" s="24" customFormat="1"/>
    <row r="109" s="24" customFormat="1"/>
    <row r="110" s="24" customFormat="1"/>
    <row r="111" s="24" customFormat="1"/>
    <row r="112" s="24" customFormat="1"/>
    <row r="113" s="24" customFormat="1"/>
    <row r="114" s="24" customFormat="1"/>
    <row r="115" s="24" customFormat="1"/>
    <row r="116" s="21" customFormat="1"/>
    <row r="117" s="24" customFormat="1"/>
    <row r="118" s="24" customFormat="1"/>
    <row r="119" s="24" customFormat="1"/>
    <row r="120" s="24" customFormat="1"/>
    <row r="121" s="24" customFormat="1"/>
    <row r="122" s="24" customFormat="1"/>
    <row r="123" s="21" customFormat="1"/>
    <row r="124" s="24" customFormat="1"/>
    <row r="125" s="24" customFormat="1"/>
    <row r="126" s="26" customFormat="1" ht="13.2"/>
    <row r="127" s="24" customFormat="1"/>
    <row r="128" s="24" customFormat="1"/>
    <row r="129" s="24" customFormat="1"/>
    <row r="130" s="24" customFormat="1"/>
    <row r="131" s="24" customFormat="1"/>
    <row r="132" s="24" customFormat="1"/>
    <row r="133" s="24" customFormat="1"/>
    <row r="134" s="24" customFormat="1"/>
    <row r="135" s="24" customFormat="1"/>
    <row r="136" s="24" customFormat="1"/>
    <row r="137" s="24" customFormat="1"/>
    <row r="138" s="24" customFormat="1"/>
    <row r="139" s="24" customFormat="1"/>
    <row r="140" s="24" customFormat="1"/>
    <row r="141" s="24" customFormat="1"/>
    <row r="142" s="24" customFormat="1"/>
    <row r="143" s="24" customFormat="1"/>
    <row r="144" s="24" customFormat="1"/>
    <row r="145" s="24" customFormat="1"/>
    <row r="146" s="24" customFormat="1"/>
    <row r="147" s="24" customFormat="1"/>
    <row r="148" s="24" customFormat="1"/>
    <row r="149" s="24" customFormat="1"/>
    <row r="150" s="24" customFormat="1"/>
    <row r="151" s="24" customFormat="1"/>
    <row r="152" s="24" customFormat="1"/>
    <row r="153" s="24" customFormat="1"/>
  </sheetData>
  <autoFilter ref="A2:XEM153" xr:uid="{00000000-0009-0000-0000-000000000000}"/>
  <mergeCells count="12">
    <mergeCell ref="L1:O1"/>
    <mergeCell ref="P1:P2"/>
    <mergeCell ref="G1:H1"/>
    <mergeCell ref="J1:J2"/>
    <mergeCell ref="K1:K2"/>
    <mergeCell ref="I1:I2"/>
    <mergeCell ref="F1:F2"/>
    <mergeCell ref="C1:C2"/>
    <mergeCell ref="A1:A2"/>
    <mergeCell ref="B1:B2"/>
    <mergeCell ref="D1:D2"/>
    <mergeCell ref="E1:E2"/>
  </mergeCells>
  <phoneticPr fontId="23" type="noConversion"/>
  <conditionalFormatting sqref="A3:XFD16">
    <cfRule type="expression" dxfId="1" priority="1">
      <formula>$G3&lt;&gt;$H3</formula>
    </cfRule>
  </conditionalFormatting>
  <conditionalFormatting sqref="A17:XFD153">
    <cfRule type="expression" dxfId="0" priority="4">
      <formula>#REF!&lt;&gt;#REF!</formula>
    </cfRule>
  </conditionalFormatting>
  <pageMargins left="0.39370078740157483" right="0.19685039370078741" top="0.39370078740157483" bottom="0.39370078740157483" header="0.19685039370078741" footer="0.19685039370078741"/>
  <pageSetup paperSize="9" scale="59" fitToHeight="0" orientation="portrait" r:id="rId1"/>
  <headerFooter scaleWithDoc="0"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adhuongbt</dc:creator>
  <cp:lastModifiedBy>trang huy</cp:lastModifiedBy>
  <cp:lastPrinted>2021-06-09T01:55:19Z</cp:lastPrinted>
  <dcterms:created xsi:type="dcterms:W3CDTF">2010-09-08T03:45:18Z</dcterms:created>
  <dcterms:modified xsi:type="dcterms:W3CDTF">2026-01-14T04:15:42Z</dcterms:modified>
</cp:coreProperties>
</file>