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60" yWindow="300" windowWidth="22908" windowHeight="13176"/>
  </bookViews>
  <sheets>
    <sheet name="EQP" sheetId="8" r:id="rId1"/>
  </sheets>
  <definedNames>
    <definedName name="_xlnm._FilterDatabase" localSheetId="0" hidden="1">EQP!$A$2:$XEM$153</definedName>
    <definedName name="_xlnm.Print_Area" localSheetId="0">EQP!#REF!</definedName>
  </definedNames>
  <calcPr calcId="145621"/>
</workbook>
</file>

<file path=xl/calcChain.xml><?xml version="1.0" encoding="utf-8"?>
<calcChain xmlns="http://schemas.openxmlformats.org/spreadsheetml/2006/main">
  <c r="L12" i="8" l="1"/>
  <c r="M93" i="8" l="1"/>
  <c r="L92" i="8"/>
  <c r="K92" i="8"/>
  <c r="N88" i="8"/>
  <c r="L88" i="8"/>
  <c r="K88" i="8"/>
  <c r="O86" i="8"/>
  <c r="N86" i="8"/>
  <c r="M86" i="8"/>
  <c r="L86" i="8"/>
  <c r="K86" i="8"/>
  <c r="R82" i="8"/>
  <c r="N93" i="8" l="1"/>
  <c r="N94" i="8" s="1"/>
  <c r="M94" i="8"/>
  <c r="K93" i="8"/>
  <c r="K94" i="8" s="1"/>
  <c r="L93" i="8"/>
  <c r="L94" i="8" s="1"/>
  <c r="K11" i="8"/>
</calcChain>
</file>

<file path=xl/sharedStrings.xml><?xml version="1.0" encoding="utf-8"?>
<sst xmlns="http://schemas.openxmlformats.org/spreadsheetml/2006/main" count="673" uniqueCount="406">
  <si>
    <t>Hãng SX</t>
  </si>
  <si>
    <t>ĐV</t>
  </si>
  <si>
    <t>TT</t>
  </si>
  <si>
    <t>Cái</t>
  </si>
  <si>
    <t>Mã VT</t>
  </si>
  <si>
    <t>SMC</t>
  </si>
  <si>
    <t>Tên thiết bị/hàng hóa</t>
  </si>
  <si>
    <t>SL</t>
  </si>
  <si>
    <t>CHI PHÍ TRỰC TIẾP</t>
  </si>
  <si>
    <t>Cũ</t>
  </si>
  <si>
    <t>Mới</t>
  </si>
  <si>
    <t>NCC</t>
  </si>
  <si>
    <t>Ghi chú</t>
  </si>
  <si>
    <t>Bơm màng khí nén</t>
  </si>
  <si>
    <t>DS03-AAT-TASS-02</t>
  </si>
  <si>
    <t>TDS</t>
  </si>
  <si>
    <t>Khí nén</t>
  </si>
  <si>
    <t>1.1</t>
  </si>
  <si>
    <t>1.3</t>
  </si>
  <si>
    <t>1.4</t>
  </si>
  <si>
    <t>1.5</t>
  </si>
  <si>
    <t>1.6</t>
  </si>
  <si>
    <t>1.9</t>
  </si>
  <si>
    <t>Cảm biến</t>
  </si>
  <si>
    <t>Van điện từ dầu</t>
  </si>
  <si>
    <t>2.1</t>
  </si>
  <si>
    <t>2.2</t>
  </si>
  <si>
    <t>3.1</t>
  </si>
  <si>
    <t>Thiết bị khác</t>
  </si>
  <si>
    <t>4.1</t>
  </si>
  <si>
    <t>Bơm dầu vào máy</t>
  </si>
  <si>
    <t xml:space="preserve">Digital Flow </t>
  </si>
  <si>
    <t>Cảm biến áp suất chất lỏng</t>
  </si>
  <si>
    <t>ISOLAB</t>
  </si>
  <si>
    <t>Siemens</t>
  </si>
  <si>
    <t>5.2</t>
  </si>
  <si>
    <t>Màn hình HMI TP700</t>
  </si>
  <si>
    <t>6AV2124-0GC01-0AX0</t>
  </si>
  <si>
    <t>Đầu đọc Barcode cầm tay</t>
  </si>
  <si>
    <t>Đầu nối cảm biến M12 4-PIN</t>
  </si>
  <si>
    <t>Phụ kiện cho cảm biến XML</t>
  </si>
  <si>
    <t>4.2</t>
  </si>
  <si>
    <t>Thiết bị điện</t>
  </si>
  <si>
    <t>4.3</t>
  </si>
  <si>
    <t>5.5</t>
  </si>
  <si>
    <t>1.8</t>
  </si>
  <si>
    <t>1.10</t>
  </si>
  <si>
    <t>Dẫn dầu trong máy</t>
  </si>
  <si>
    <t>Schneider</t>
  </si>
  <si>
    <t>Mitsubishi</t>
  </si>
  <si>
    <t>TCL-05SV3</t>
  </si>
  <si>
    <t>DI</t>
  </si>
  <si>
    <t>DO</t>
  </si>
  <si>
    <t>PLC</t>
  </si>
  <si>
    <t>Tổng I/O cần</t>
  </si>
  <si>
    <t>AO</t>
  </si>
  <si>
    <t>AI</t>
  </si>
  <si>
    <t>Relay</t>
  </si>
  <si>
    <t>Thiết bị điều khiển</t>
  </si>
  <si>
    <t>Panel</t>
  </si>
  <si>
    <t>Nút dừng khẩn D22, 1NC</t>
  </si>
  <si>
    <t>YW1B-V4E01R</t>
  </si>
  <si>
    <t>IDEC</t>
  </si>
  <si>
    <t>Nút ấn nhả 1NO D22, màu xanh, đèn 24VDC</t>
  </si>
  <si>
    <t>YW1L-MF2E10Q4G</t>
  </si>
  <si>
    <t>ON (Master On)</t>
  </si>
  <si>
    <t>Nút ấn nhả 1NO D22, màu xanh</t>
  </si>
  <si>
    <t>YW1B-M1E10G</t>
  </si>
  <si>
    <t>Lamp Test</t>
  </si>
  <si>
    <t>4.4</t>
  </si>
  <si>
    <t>Nút ấn nhả 1NO D22, màu vàng</t>
  </si>
  <si>
    <t>YW1B-M1E10Y</t>
  </si>
  <si>
    <t>Buzzer OFF, Reset</t>
  </si>
  <si>
    <t>4.5</t>
  </si>
  <si>
    <t>Nút ấn nhả 1NC, D22, màu đỏ</t>
  </si>
  <si>
    <t>YW1B-M1E01R</t>
  </si>
  <si>
    <t>OFF: 1
STOP: 1</t>
  </si>
  <si>
    <t>4.6</t>
  </si>
  <si>
    <t>Đèn báo D22, màu trắng, 220 V AC</t>
  </si>
  <si>
    <t>YW1P-1EQM3PW</t>
  </si>
  <si>
    <t>4.7</t>
  </si>
  <si>
    <t>Dèn báo D22, màu đỏ, 24VDC</t>
  </si>
  <si>
    <t>YW1P-1EQ4R</t>
  </si>
  <si>
    <t>Error, Drum min</t>
  </si>
  <si>
    <t>4.8</t>
  </si>
  <si>
    <t>Nút ấn nhà tròn SPDT D16, màu vàng, đèn 24VDC</t>
  </si>
  <si>
    <t>AL6M-M14-Y</t>
  </si>
  <si>
    <t>4.9</t>
  </si>
  <si>
    <t>Nút ấn nhà tròn SPDT D16, màu đỏ</t>
  </si>
  <si>
    <t>AB6M-M1-R</t>
  </si>
  <si>
    <t>4.10</t>
  </si>
  <si>
    <t>Đèn tháp 3 tầng</t>
  </si>
  <si>
    <t>Hanyoung</t>
  </si>
  <si>
    <t>Start tại Adapter</t>
  </si>
  <si>
    <t>Stop tại Adapter</t>
  </si>
  <si>
    <t>HY-606-24</t>
  </si>
  <si>
    <t>STL-060-F-C51-3-L</t>
  </si>
  <si>
    <t>4.11</t>
  </si>
  <si>
    <t>Còi báo 24V</t>
  </si>
  <si>
    <t>5.1</t>
  </si>
  <si>
    <t>5.3</t>
  </si>
  <si>
    <t>Chint</t>
  </si>
  <si>
    <t>Bộ lọc nhiễu</t>
  </si>
  <si>
    <t>RSHN-2006</t>
  </si>
  <si>
    <t>TDK</t>
  </si>
  <si>
    <t>Omron</t>
  </si>
  <si>
    <t>Rơ le 5 chân, điện áp 24VDC</t>
  </si>
  <si>
    <t>RJ1S-CL-D24</t>
  </si>
  <si>
    <t>Đế rơ le 5 chân</t>
  </si>
  <si>
    <t>SJ1S-05BW</t>
  </si>
  <si>
    <t xml:space="preserve">IDEC </t>
  </si>
  <si>
    <t>Đế cầu chì</t>
  </si>
  <si>
    <t>DF101</t>
  </si>
  <si>
    <t>Cầu chì 1A cỡ 10 mm x 38mm</t>
  </si>
  <si>
    <t>TQ</t>
  </si>
  <si>
    <t>Cầu chì 2A cỡ 10 mm x 38mm</t>
  </si>
  <si>
    <t>Tổng I/O có</t>
  </si>
  <si>
    <t>I/O dư</t>
  </si>
  <si>
    <t>5.4</t>
  </si>
  <si>
    <t>PLC S7-1200 CPU 1215C AC/DC/Relay</t>
  </si>
  <si>
    <t>Biến áp cách ly 1 pha, 300VA</t>
  </si>
  <si>
    <t>NDK-300 VA</t>
  </si>
  <si>
    <t>Mô đun truyền thông RS485</t>
  </si>
  <si>
    <t>6ES7241-1CH32-0XB0</t>
  </si>
  <si>
    <t>7.3</t>
  </si>
  <si>
    <t>Donaldson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</si>
  <si>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</si>
  <si>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</si>
  <si>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</si>
  <si>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</si>
  <si>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</si>
  <si>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</si>
  <si>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</si>
  <si>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</si>
  <si>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</si>
  <si>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</si>
  <si>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</si>
  <si>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</si>
  <si>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7.2</t>
  </si>
  <si>
    <t>Van điện từ 2/2, dung môi dầu, ren 3/8"</t>
  </si>
  <si>
    <t>VX223DZ2A</t>
  </si>
  <si>
    <t>ELCB 2P 10A</t>
  </si>
  <si>
    <t>NV63-CV 2P 10A 30mA</t>
  </si>
  <si>
    <t>Nắp đậy ELCB NV63-CV 2P</t>
  </si>
  <si>
    <t>6ES7215-1BG40-0XB0</t>
  </si>
  <si>
    <t>S8VK-G12024</t>
  </si>
  <si>
    <t>Bộ nguồn DC24/120W</t>
  </si>
  <si>
    <t>IFM</t>
  </si>
  <si>
    <t>KQ6006</t>
  </si>
  <si>
    <t>MCB 1P 6A</t>
  </si>
  <si>
    <t>BH-D6 1P 6A</t>
  </si>
  <si>
    <t>6.13</t>
  </si>
  <si>
    <t xml:space="preserve">Bộ điều khiển nhiệt </t>
  </si>
  <si>
    <t>JWT6011F</t>
  </si>
  <si>
    <t>Leipole</t>
  </si>
  <si>
    <t>6.14</t>
  </si>
  <si>
    <t>FKL6622.230</t>
  </si>
  <si>
    <t>6.15</t>
  </si>
  <si>
    <t>Miệng lọc</t>
  </si>
  <si>
    <t>FKL6622.300</t>
  </si>
  <si>
    <t>6.16</t>
  </si>
  <si>
    <t>YongSung</t>
  </si>
  <si>
    <t>6ES7223-1PL32-0XB0</t>
  </si>
  <si>
    <t>Đầu vào bộ điều áp tổng: 1</t>
  </si>
  <si>
    <t>STU</t>
  </si>
  <si>
    <t>Đa Hình</t>
  </si>
  <si>
    <t>STUM14.0162</t>
  </si>
  <si>
    <t>0930038</t>
  </si>
  <si>
    <t>Itap</t>
  </si>
  <si>
    <t>Phụ kiện đường ống</t>
  </si>
  <si>
    <t>Măng xông Inox ren cái Rc038</t>
  </si>
  <si>
    <t>Van tay 3/8", đực-cái</t>
  </si>
  <si>
    <t>KFG2H1613-03</t>
  </si>
  <si>
    <t>Van tay 1/4", đực-cái</t>
  </si>
  <si>
    <t>KFG2H1210-02</t>
  </si>
  <si>
    <t>0930014</t>
  </si>
  <si>
    <t>8.1</t>
  </si>
  <si>
    <t>8.2</t>
  </si>
  <si>
    <t>8.3</t>
  </si>
  <si>
    <t>Đầu nối khí Y D10-R1/4</t>
  </si>
  <si>
    <t>KQ2Y10-02S</t>
  </si>
  <si>
    <t>Đầu nối khí L D10</t>
  </si>
  <si>
    <t>KQ2L10-00A</t>
  </si>
  <si>
    <t>Đầu nối khí ren đực 2 đầu, D10</t>
  </si>
  <si>
    <t>KQ2E10-00A</t>
  </si>
  <si>
    <t>Đầu nối thu D8-D6</t>
  </si>
  <si>
    <t>KQ2H06-08</t>
  </si>
  <si>
    <t>Đầu thu D10-D8</t>
  </si>
  <si>
    <t>KQ2N08-10</t>
  </si>
  <si>
    <t>Đầu bịt ống D6</t>
  </si>
  <si>
    <t>KQ2P-06</t>
  </si>
  <si>
    <t>Đầu nối khí L D10-R1/4</t>
  </si>
  <si>
    <t>KQ2L10-02AS</t>
  </si>
  <si>
    <t>Cảm biến mức 3 bình</t>
  </si>
  <si>
    <t>Đường hồi</t>
  </si>
  <si>
    <t>KFG2H0604-02</t>
  </si>
  <si>
    <t>KFG2H0806-02</t>
  </si>
  <si>
    <t>Ống khí D16</t>
  </si>
  <si>
    <t>m</t>
  </si>
  <si>
    <t>Ống khí D12</t>
  </si>
  <si>
    <t>Đầu nối khí ống D16 ren ngoài 3/8</t>
  </si>
  <si>
    <t>Đầu nối khí ống D12 ren ngoài 1/4</t>
  </si>
  <si>
    <t>Đầu nối khí ống D8 ren ngoài 1/4</t>
  </si>
  <si>
    <t>Đầu nối khí ống D6 ren ngoài 1/4</t>
  </si>
  <si>
    <t>Tay xoay kiểu V V-05SV</t>
  </si>
  <si>
    <t>Tay nối dài kiểu V Option V-AD3S</t>
  </si>
  <si>
    <t>V-05SV</t>
  </si>
  <si>
    <t>V-AD3S</t>
  </si>
  <si>
    <t>Đường từ đầu vào đến bơm dung dịch, bơm nước : 3m</t>
  </si>
  <si>
    <t>Đường nước ra Adapter: 14m
Đường dung dịch ra Adapter: 14m
Trong máy: 2.5m</t>
  </si>
  <si>
    <t>STNC</t>
  </si>
  <si>
    <t>YSAP-1</t>
  </si>
  <si>
    <t>Hivero</t>
  </si>
  <si>
    <t>Ngày cần</t>
  </si>
  <si>
    <t>Bộ lọc khí A30, bao gồm cả đồ gá</t>
  </si>
  <si>
    <t>AC30-03G-D</t>
  </si>
  <si>
    <t>Van tay A30, bao gồm cả đồ gá</t>
  </si>
  <si>
    <t>VHS30-03-S-D</t>
  </si>
  <si>
    <t>Cảm biến áp suất, bao gồm cả đồ gá</t>
  </si>
  <si>
    <t>IS10M-30-6-D</t>
  </si>
  <si>
    <t>Đường cấp khí: D8
Đường ra chân không: Rc3/4</t>
  </si>
  <si>
    <t>ZL3M06</t>
  </si>
  <si>
    <t>Thông số/Chức năng</t>
  </si>
  <si>
    <t>Ren 1/4, ống D10
Lắp vào bơm màng</t>
  </si>
  <si>
    <t>Van tiết lưu</t>
  </si>
  <si>
    <t>Bộ tạo chân không</t>
  </si>
  <si>
    <t>AS2201F-02-10S</t>
  </si>
  <si>
    <t>Van điện từ 2/2 NC, điện áp 24V, ống D10</t>
  </si>
  <si>
    <t>VQ31A1-5YZ-C10-F</t>
  </si>
  <si>
    <t>Đầu nối khí L D12 ren đực 3/8</t>
  </si>
  <si>
    <t>KQ2L12-03AS</t>
  </si>
  <si>
    <t>Đầu nối khí L ren đực 3/8, 3 đầu ra D8 xoay độc lập</t>
  </si>
  <si>
    <t>Đầu ra bộ điều áp tổng: 1</t>
  </si>
  <si>
    <t>Đầu nối khí L D8 ren đực 3/8</t>
  </si>
  <si>
    <t>KQ2L08-03AS</t>
  </si>
  <si>
    <t>Đầu nối khí T ren đực 3/8, 2 đầu ra D8</t>
  </si>
  <si>
    <t>KQ2Y08-03S</t>
  </si>
  <si>
    <t>Đầu nối khí L D8 ren đực 1/4</t>
  </si>
  <si>
    <t>KQ2L08-02AS</t>
  </si>
  <si>
    <t>Đầu nối khí L D8</t>
  </si>
  <si>
    <t>KQ2L08-00A</t>
  </si>
  <si>
    <t>Đầu nói khí + D8</t>
  </si>
  <si>
    <t>KQ2TW08-00</t>
  </si>
  <si>
    <t>Nối khí T D8</t>
  </si>
  <si>
    <t>KQ2T08-00A</t>
  </si>
  <si>
    <t>Ống khí nén D6</t>
  </si>
  <si>
    <t>T0604W</t>
  </si>
  <si>
    <t>Ống khí nén D8</t>
  </si>
  <si>
    <t>T0806B-20</t>
  </si>
  <si>
    <t>Ống khí nén D12</t>
  </si>
  <si>
    <t>T1209B-20</t>
  </si>
  <si>
    <t>Đầu nối khí cắm ống D6</t>
  </si>
  <si>
    <t>KQ2E06-00A</t>
  </si>
  <si>
    <t>Đầu nối khí cắm ống D8</t>
  </si>
  <si>
    <t>KQ2E08-00A</t>
  </si>
  <si>
    <t>Đầu nối khí cắm ống D12</t>
  </si>
  <si>
    <t>KQ2E12-00A</t>
  </si>
  <si>
    <t>KQ2VT10-03S</t>
  </si>
  <si>
    <t>KQ2L16-04AS</t>
  </si>
  <si>
    <t>Đầu nối khí L D12 ren đực 1/2</t>
  </si>
  <si>
    <t>Đầu ra bộ tạo CK (qua 1 đầu thu ren R3/4-Rc1/2): 1
Đầu vào bình hồi: 1</t>
  </si>
  <si>
    <t>1.2</t>
  </si>
  <si>
    <t>1.7</t>
  </si>
  <si>
    <t>(Ren đực M16)</t>
  </si>
  <si>
    <t>(Ren đực M22)</t>
  </si>
  <si>
    <t>1.11</t>
  </si>
  <si>
    <t>1.12</t>
  </si>
  <si>
    <t>Đầu vào bộ điều áp tổng: 1
Đầu vào bộ điều áp điên tử: 1</t>
  </si>
  <si>
    <t>Đầu vào bình đẩy
Đầu vào bình chứa</t>
  </si>
  <si>
    <t>Đầu vào bình hồi</t>
  </si>
  <si>
    <t>Đầu nối khí T D10</t>
  </si>
  <si>
    <t>KQ2T10-00A</t>
  </si>
  <si>
    <t>Đầu nối khí T D6</t>
  </si>
  <si>
    <t>KQ2T06-00A</t>
  </si>
  <si>
    <t>Đầu nối khí L D6</t>
  </si>
  <si>
    <t>KQ2L06-00A</t>
  </si>
  <si>
    <t>Đầu nối khí L D6-R1/4</t>
  </si>
  <si>
    <t>KQ2L06-02AS</t>
  </si>
  <si>
    <t>Đầu nối khí L D12-R1/4</t>
  </si>
  <si>
    <t>KQ2L12-02AS</t>
  </si>
  <si>
    <t>Đầu nối khí ống D16 ren ngoài 1/2</t>
  </si>
  <si>
    <t>KFG2H1613-04</t>
  </si>
  <si>
    <t>Đầu nối ống khí D12 ren ngoài 1/2</t>
  </si>
  <si>
    <t>KFG2H1210-04</t>
  </si>
  <si>
    <t>Đầu nối khí ống D12 ren ngoài 3/8</t>
  </si>
  <si>
    <t>KFG2H1210-03</t>
  </si>
  <si>
    <t>Đầu nối ống khí D12 ren ngoài 1/4</t>
  </si>
  <si>
    <t>Trong máy: 4
Van tay đường nạp: 1
Adapter: 1</t>
  </si>
  <si>
    <t>Đầu nối ống khí D8 ren ngoài 1/4</t>
  </si>
  <si>
    <t>Lắp cảm biến báo mức bình</t>
  </si>
  <si>
    <t>Đầu nối ống khí D6 ren ngoài 1/4</t>
  </si>
  <si>
    <t>Van tay bình hồi: x1
Adapter: x1</t>
  </si>
  <si>
    <t xml:space="preserve">Đầu nối từ đầu vào đến bơm:1,2m
Đầu nối từ bơm đến đầu vào bình chứa: 1m
</t>
  </si>
  <si>
    <t>Đường dầu Adapter: 14m
Đường từ bình hồi đến van hút chân không: 2.5m
Dây dung dịch trong máy: 1m</t>
  </si>
  <si>
    <t>Ống khí D8</t>
  </si>
  <si>
    <t>Dây gá cảm biến bình đẩy: 0.6m
Dây gá cảm biến bình hồi: 0.3m
Dây gá cảm biến bình chứa: 0.8m</t>
  </si>
  <si>
    <t>Ống khí D6</t>
  </si>
  <si>
    <t>Đường hồi từ Adapter về: 16m</t>
  </si>
  <si>
    <t>Đầu bịt ống phi 10</t>
  </si>
  <si>
    <t>Van cấp khí cho bơm nước, dung dịch</t>
  </si>
  <si>
    <t>KQ2P-10</t>
  </si>
  <si>
    <t>Van điện từ 2/2, dung môi dầu, ren 1/8"</t>
  </si>
  <si>
    <t>Adapter: 2</t>
  </si>
  <si>
    <t>Đã đặt hàng</t>
  </si>
  <si>
    <t>Cảm biến lưu lượng 50L/h</t>
  </si>
  <si>
    <t>XMLG010D21</t>
  </si>
  <si>
    <t>Telemecanique</t>
  </si>
  <si>
    <t>XZCC12FCM40B</t>
  </si>
  <si>
    <t>Cảm biến báo mức chất lỏng</t>
  </si>
  <si>
    <t>Báo Adapter đã ở vị trí Home</t>
  </si>
  <si>
    <t>Báo Adapter đã ở vị trí nạp (gắn vào Adapter)</t>
  </si>
  <si>
    <t>Báo cạn bình chứa ngoài</t>
  </si>
  <si>
    <t>Module mở rộng 16DI/16DO Relay</t>
  </si>
  <si>
    <t>Quạt tản nhiệt tủ điện 220V, 148.5x148.5 mm</t>
  </si>
  <si>
    <t>Chặn cầu đấu</t>
  </si>
  <si>
    <t>7.1</t>
  </si>
  <si>
    <t>Cốc hiệu chuẩn 250mL</t>
  </si>
  <si>
    <t>025.01.250</t>
  </si>
  <si>
    <t>Lọc dầu thủy lực P5502301</t>
  </si>
  <si>
    <t>Đầu lọc dầu thủy lực P561135</t>
  </si>
  <si>
    <t>ALĐA</t>
  </si>
  <si>
    <t>Bình chứa thể tích 10L, áp suất chân không, vật liệu Inox</t>
  </si>
  <si>
    <t>PIPE00: 1</t>
  </si>
  <si>
    <t>KF50-R038</t>
  </si>
  <si>
    <t>Đầu ra bơm: 1
Đầu ra bình chứa, bình đẩy: 2
PIPE04: 1
PINE05: 1</t>
  </si>
  <si>
    <t>KF50-012</t>
  </si>
  <si>
    <t>PIPE01: 1</t>
  </si>
  <si>
    <t>Cút hàn L Inox 012</t>
  </si>
  <si>
    <t>Đầu ren Inox R012</t>
  </si>
  <si>
    <t>PIPE01:1</t>
  </si>
  <si>
    <t>Măng xông Inox ren cái Rc012</t>
  </si>
  <si>
    <t>PIPE02: 1</t>
  </si>
  <si>
    <t>Cút hàn L Inox 034</t>
  </si>
  <si>
    <t>PIPE02: 1
PIPE03: 1</t>
  </si>
  <si>
    <t>Ống Inox D27, dài 100</t>
  </si>
  <si>
    <t>Đầu ren Inox R034</t>
  </si>
  <si>
    <t>KF50-R034</t>
  </si>
  <si>
    <t>Đầu ra bộ lọc: 1</t>
  </si>
  <si>
    <t>KF50-034</t>
  </si>
  <si>
    <t>PIPE03: 2</t>
  </si>
  <si>
    <t>Ống Inox D27, dài 200</t>
  </si>
  <si>
    <t>PIPE03: 1</t>
  </si>
  <si>
    <t>T-Rc038</t>
  </si>
  <si>
    <t>PIPE04: 1
PIPE05: 2 (hàn vào nhau)</t>
  </si>
  <si>
    <t>Kép thu Inox R012-R014</t>
  </si>
  <si>
    <t>Nối van 1C và van điện từ: 3
Nối van 1C và T-Rc014: 2</t>
  </si>
  <si>
    <t>Kép thu Inox R012-R038</t>
  </si>
  <si>
    <t>Nối van 1C và PIPE5: 1</t>
  </si>
  <si>
    <t>T-Rc014</t>
  </si>
  <si>
    <t>PIPE06: 2</t>
  </si>
  <si>
    <t>Đầu nối L ren ống D12 ren ngoài 1/4</t>
  </si>
  <si>
    <t>Kép Inox ren đực R1/4</t>
  </si>
  <si>
    <t>CBLL và PIPE06: 1</t>
  </si>
  <si>
    <t>KF50-R014</t>
  </si>
  <si>
    <t>Bịt đáy bình hồi: 1
Bịt nắp bình hồi: 2</t>
  </si>
  <si>
    <t>Đầu bịt R014</t>
  </si>
  <si>
    <t>Bịt đáy bình hồi: 1
Bịt nắp bình hồi: 2
Bịt nắp bình đẩy: 1
Bịt nắp bình chứa: 1</t>
  </si>
  <si>
    <t>Đầu bịt R038</t>
  </si>
  <si>
    <t>Bịt nắp bình chứa: 2</t>
  </si>
  <si>
    <t>Đầu bịt R012</t>
  </si>
  <si>
    <t>Bịt nắp bình dẩy: 1</t>
  </si>
  <si>
    <t>Đầu nối ren ống D16 ren ngoài 1/2</t>
  </si>
  <si>
    <t>Ống D16 nối từ van 1C vào bộ lọc: 2</t>
  </si>
  <si>
    <t>PC16-04</t>
  </si>
  <si>
    <t>Đầu nối ren ống D12 ren ngoài 3/8</t>
  </si>
  <si>
    <t>Ống D12 nối từ máy vào bơm: 2
Ống D12 nối bình chứa-bình đẩy, phía đầu ra bình chứa: 1
Ống D12 nối bình đẩy ra CBLL, phía bình đẩy: 1</t>
  </si>
  <si>
    <t>PC12-03</t>
  </si>
  <si>
    <t>Đầu nối ren ống D12 ren ngoài 1/4</t>
  </si>
  <si>
    <t>Ống D12 nối từ bình chứa-bình đẩy, phía đầu vào van điện từ: 1
Ống D12 nối các van điện từ sau bình đẩy: 4
Adapter: 1
Sau CBLL: 1</t>
  </si>
  <si>
    <t>PC12-02</t>
  </si>
  <si>
    <t>Đầu nối ren ống D8 ren ngoài 1/4</t>
  </si>
  <si>
    <t>PC08-02</t>
  </si>
  <si>
    <t>Đầu nối ren ống D6 ren ngoài 1/4</t>
  </si>
  <si>
    <t>PC06-02</t>
  </si>
  <si>
    <t>Cấp khí cho bộ tạo CK: 1
Cấp khí cho bơm màng: 1</t>
  </si>
  <si>
    <t>DGT-006SI</t>
  </si>
  <si>
    <t>Ktra tồn kho</t>
  </si>
  <si>
    <t>Zebra</t>
  </si>
  <si>
    <t>P551551
(hoặc P550230)</t>
  </si>
  <si>
    <t>P561135
(hoặc P561131)</t>
  </si>
  <si>
    <t>Van điều áp AR20, kèm gá</t>
  </si>
  <si>
    <t>AR20-02BG-D</t>
  </si>
  <si>
    <t>Cấp khí vào bình đẩy: 1
Rc1/4</t>
  </si>
  <si>
    <t>VX213BF
(hoặc VX213AAXB)</t>
  </si>
  <si>
    <t>Van 1 chiều Roma Rc3/8</t>
  </si>
  <si>
    <t>1040038</t>
  </si>
  <si>
    <t>ITAP</t>
  </si>
  <si>
    <t>Bình chứa thể tích 36L, áp suất làm việc 6Bar, Vật liệu Inox</t>
  </si>
  <si>
    <t>Bình chứa thể tích 10L, áp suất làm việc 6Bar, Vật liệu Inox</t>
  </si>
  <si>
    <t>Van điện từ 2/2 NC, điện áp 24V, ống D8</t>
  </si>
  <si>
    <t>VQ21A1-5YZ-C8-F</t>
  </si>
  <si>
    <t>Cấp khí bình chứa: 1
Cân bằng áp bình chứa: 1
Cấp khí vào bình đẩy: 1
Cân bằng khí bình đẩy: 1</t>
  </si>
  <si>
    <t>1.13</t>
  </si>
  <si>
    <t>Đầu ra Adapter: 2
Xả áp bình chứa: 1
Xả áp bình đẩy: 1
Xả áp bình hồi: 1</t>
  </si>
  <si>
    <t>Dầu vào máy: 1
Bình chứa, bình đẩy: 1
Xả đáy bình chứa: 1
Xả đáy bình đẩy: 1
Xả đáy bình hồi: 1</t>
  </si>
  <si>
    <t>ATB-CH-10G</t>
  </si>
  <si>
    <t>ATB-S10</t>
  </si>
  <si>
    <t>Nắp chăn 10A 1P ATB-S10</t>
  </si>
  <si>
    <t>Cầu đấu ATB-10A</t>
  </si>
  <si>
    <t>ATB-10</t>
  </si>
  <si>
    <t>Ray nhôm loại nhỏ cho cầu đấu ATB-10A</t>
  </si>
  <si>
    <t>6.17</t>
  </si>
  <si>
    <t>6.18</t>
  </si>
  <si>
    <t>6.19</t>
  </si>
  <si>
    <t>6.20</t>
  </si>
  <si>
    <t>DS3678-SR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</si>
</sst>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(* #,##0.00_);_(* \(#,##0.00\);_(* &quot;-&quot;??_);_(@_)"/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(* #,##0_);_(* \(#,##0\);_(* &quot;-&quot;??_);_(@_)"/>
    <numFmt numFmtId="169" formatCode="#,##0_ ;\-#,##0\ "/>
    <numFmt numFmtId="170" formatCode="\$#,##0\ ;\(\$#,##0\)"/>
    <numFmt numFmtId="171" formatCode="#,"/>
    <numFmt numFmtId="172" formatCode="#,##0\ &quot;DM&quot;;\-#,##0\ &quot;DM&quot;"/>
    <numFmt numFmtId="173" formatCode="0.000%"/>
    <numFmt numFmtId="174" formatCode="&quot;￥&quot;#,##0;&quot;￥&quot;\-#,##0"/>
    <numFmt numFmtId="175" formatCode="00.000"/>
    <numFmt numFmtId="176" formatCode="_(* #.##0.00_);_(* \(#.##0.00\);_(* &quot;-&quot;??_);_(@_)"/>
  </numFmts>
  <fonts count="29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Arial"/>
      <family val="2"/>
      <charset val="163"/>
    </font>
    <font>
      <sz val="10"/>
      <name val="Helv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9"/>
      <name val="Times New Roman"/>
      <family val="1"/>
    </font>
    <font>
      <b/>
      <sz val="1"/>
      <color indexed="8"/>
      <name val="Courier"/>
      <family val="3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2"/>
      <color theme="1"/>
      <name val="Times New Roman"/>
      <family val="2"/>
      <charset val="163"/>
    </font>
    <font>
      <sz val="11"/>
      <color theme="1"/>
      <name val="Calibri"/>
      <family val="2"/>
      <charset val="163"/>
      <scheme val="minor"/>
    </font>
    <font>
      <sz val="10"/>
      <name val="Helv"/>
    </font>
    <font>
      <sz val="11"/>
      <name val="ＭＳ Ｐゴシック"/>
      <charset val="128"/>
    </font>
    <font>
      <sz val="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0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" fillId="0" borderId="0"/>
    <xf numFmtId="0" fontId="10" fillId="0" borderId="0"/>
    <xf numFmtId="2" fontId="5" fillId="0" borderId="0" applyFont="0" applyFill="0" applyBorder="0" applyAlignment="0" applyProtection="0"/>
    <xf numFmtId="0" fontId="9" fillId="0" borderId="3" applyNumberFormat="0" applyAlignment="0" applyProtection="0">
      <alignment horizontal="left" vertical="center"/>
    </xf>
    <xf numFmtId="0" fontId="9" fillId="0" borderId="2">
      <alignment horizontal="left" vertical="center"/>
    </xf>
    <xf numFmtId="171" fontId="12" fillId="0" borderId="0">
      <protection locked="0"/>
    </xf>
    <xf numFmtId="171" fontId="12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19" fillId="0" borderId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4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/>
    <xf numFmtId="0" fontId="18" fillId="0" borderId="0"/>
    <xf numFmtId="165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0" fillId="0" borderId="0"/>
    <xf numFmtId="0" fontId="21" fillId="0" borderId="0"/>
    <xf numFmtId="0" fontId="5" fillId="0" borderId="0"/>
    <xf numFmtId="0" fontId="22" fillId="0" borderId="0">
      <alignment vertical="center"/>
    </xf>
    <xf numFmtId="0" fontId="2" fillId="0" borderId="0"/>
    <xf numFmtId="0" fontId="1" fillId="0" borderId="0"/>
    <xf numFmtId="176" fontId="5" fillId="0" borderId="0" applyFont="0" applyFill="0" applyBorder="0" applyAlignment="0" applyProtection="0"/>
  </cellStyleXfs>
  <cellXfs count="48">
    <xf numFmtId="0" fontId="0" fillId="0" borderId="0" xfId="0"/>
    <xf numFmtId="0" fontId="25" fillId="0" borderId="0" xfId="4" applyFont="1" applyAlignment="1">
      <alignment horizontal="center" vertical="center"/>
    </xf>
    <xf numFmtId="0" fontId="24" fillId="3" borderId="1" xfId="139" applyNumberFormat="1" applyFont="1" applyFill="1" applyBorder="1" applyAlignment="1">
      <alignment horizontal="center" vertical="center"/>
    </xf>
    <xf numFmtId="0" fontId="24" fillId="2" borderId="1" xfId="139" applyNumberFormat="1" applyFont="1" applyFill="1" applyBorder="1" applyAlignment="1">
      <alignment horizontal="center" vertical="center"/>
    </xf>
    <xf numFmtId="0" fontId="24" fillId="2" borderId="0" xfId="139" applyNumberFormat="1" applyFont="1" applyFill="1" applyAlignment="1">
      <alignment horizontal="center" vertical="center"/>
    </xf>
    <xf numFmtId="0" fontId="25" fillId="0" borderId="0" xfId="76" applyFont="1" applyAlignment="1">
      <alignment horizontal="left" vertical="center"/>
    </xf>
    <xf numFmtId="0" fontId="25" fillId="0" borderId="0" xfId="76" applyFont="1" applyAlignment="1">
      <alignment horizontal="center" vertical="center"/>
    </xf>
    <xf numFmtId="168" fontId="25" fillId="0" borderId="0" xfId="55" applyNumberFormat="1" applyFont="1" applyAlignment="1">
      <alignment horizontal="left" vertical="top"/>
    </xf>
    <xf numFmtId="168" fontId="25" fillId="0" borderId="0" xfId="55" applyNumberFormat="1" applyFont="1" applyAlignment="1">
      <alignment horizontal="right" vertical="top"/>
    </xf>
    <xf numFmtId="1" fontId="25" fillId="0" borderId="0" xfId="55" applyNumberFormat="1" applyFont="1" applyAlignment="1">
      <alignment horizontal="center" vertical="top"/>
    </xf>
    <xf numFmtId="0" fontId="25" fillId="0" borderId="0" xfId="76" applyFont="1" applyAlignment="1">
      <alignment vertical="center"/>
    </xf>
    <xf numFmtId="0" fontId="26" fillId="0" borderId="0" xfId="76" applyFont="1" applyAlignment="1">
      <alignment horizontal="left" vertical="top"/>
    </xf>
    <xf numFmtId="0" fontId="26" fillId="0" borderId="0" xfId="76" applyFont="1" applyAlignment="1">
      <alignment horizontal="left" vertical="center"/>
    </xf>
    <xf numFmtId="0" fontId="27" fillId="3" borderId="1" xfId="139" applyNumberFormat="1" applyFont="1" applyFill="1" applyBorder="1" applyAlignment="1">
      <alignment horizontal="center" vertical="center"/>
    </xf>
    <xf numFmtId="0" fontId="26" fillId="0" borderId="0" xfId="76" applyFont="1" applyAlignment="1">
      <alignment horizontal="center" vertical="top"/>
    </xf>
    <xf numFmtId="0" fontId="25" fillId="0" borderId="1" xfId="0" applyFont="1" applyFill="1" applyBorder="1" applyAlignment="1">
      <alignment vertical="top" wrapText="1"/>
    </xf>
    <xf numFmtId="0" fontId="25" fillId="0" borderId="1" xfId="0" applyFont="1" applyFill="1" applyBorder="1" applyAlignment="1">
      <alignment horizontal="left" vertical="top" wrapText="1"/>
    </xf>
    <xf numFmtId="0" fontId="24" fillId="0" borderId="1" xfId="0" applyFont="1" applyFill="1" applyBorder="1" applyAlignment="1">
      <alignment horizontal="left" vertical="top" wrapText="1"/>
    </xf>
    <xf numFmtId="0" fontId="24" fillId="0" borderId="1" xfId="0" applyFont="1" applyFill="1" applyBorder="1" applyAlignment="1">
      <alignment vertical="top" wrapText="1"/>
    </xf>
    <xf numFmtId="0" fontId="24" fillId="0" borderId="1" xfId="0" applyFont="1" applyFill="1" applyBorder="1" applyAlignment="1">
      <alignment horizontal="center" vertical="top" wrapText="1"/>
    </xf>
    <xf numFmtId="14" fontId="24" fillId="0" borderId="7" xfId="0" applyNumberFormat="1" applyFont="1" applyFill="1" applyBorder="1" applyAlignment="1">
      <alignment horizontal="center" vertical="top" wrapText="1"/>
    </xf>
    <xf numFmtId="0" fontId="24" fillId="0" borderId="0" xfId="0" applyFont="1" applyFill="1" applyAlignment="1">
      <alignment vertical="top" wrapText="1"/>
    </xf>
    <xf numFmtId="0" fontId="25" fillId="0" borderId="1" xfId="0" applyFont="1" applyFill="1" applyBorder="1" applyAlignment="1">
      <alignment horizontal="center" vertical="top" wrapText="1"/>
    </xf>
    <xf numFmtId="14" fontId="25" fillId="0" borderId="7" xfId="0" applyNumberFormat="1" applyFont="1" applyFill="1" applyBorder="1" applyAlignment="1">
      <alignment horizontal="center" vertical="top" wrapText="1"/>
    </xf>
    <xf numFmtId="0" fontId="25" fillId="0" borderId="0" xfId="0" applyFont="1" applyFill="1" applyAlignment="1">
      <alignment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0" xfId="0" applyFill="1" applyAlignment="1">
      <alignment vertical="top" wrapText="1"/>
    </xf>
    <xf numFmtId="0" fontId="0" fillId="2" borderId="1" xfId="0" quotePrefix="1" applyFill="1" applyBorder="1" applyAlignment="1">
      <alignment vertical="top" wrapText="1"/>
    </xf>
    <xf numFmtId="14" fontId="0" fillId="2" borderId="1" xfId="0" applyNumberFormat="1" applyFill="1" applyBorder="1" applyAlignment="1">
      <alignment vertical="top" wrapText="1"/>
    </xf>
    <xf numFmtId="0" fontId="28" fillId="2" borderId="1" xfId="0" applyFont="1" applyFill="1" applyBorder="1" applyAlignment="1">
      <alignment vertical="top" wrapText="1"/>
    </xf>
    <xf numFmtId="0" fontId="28" fillId="2" borderId="1" xfId="0" applyFont="1" applyFill="1" applyBorder="1" applyAlignment="1">
      <alignment horizontal="center" vertical="top" wrapText="1"/>
    </xf>
    <xf numFmtId="14" fontId="28" fillId="2" borderId="7" xfId="0" applyNumberFormat="1" applyFont="1" applyFill="1" applyBorder="1" applyAlignment="1">
      <alignment horizontal="center" vertical="top" wrapText="1"/>
    </xf>
    <xf numFmtId="0" fontId="28" fillId="2" borderId="0" xfId="0" applyFont="1" applyFill="1" applyAlignment="1">
      <alignment vertical="top" wrapText="1"/>
    </xf>
    <xf numFmtId="0" fontId="24" fillId="0" borderId="4" xfId="4" applyFont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24" fillId="0" borderId="7" xfId="4" applyFont="1" applyBorder="1" applyAlignment="1">
      <alignment horizontal="center" vertical="center"/>
    </xf>
    <xf numFmtId="1" fontId="24" fillId="3" borderId="1" xfId="4" applyNumberFormat="1" applyFont="1" applyFill="1" applyBorder="1" applyAlignment="1">
      <alignment horizontal="center" vertical="center"/>
    </xf>
    <xf numFmtId="0" fontId="24" fillId="3" borderId="4" xfId="139" applyNumberFormat="1" applyFont="1" applyFill="1" applyBorder="1" applyAlignment="1">
      <alignment horizontal="center" vertical="center"/>
    </xf>
    <xf numFmtId="0" fontId="24" fillId="3" borderId="7" xfId="139" applyNumberFormat="1" applyFont="1" applyFill="1" applyBorder="1" applyAlignment="1">
      <alignment horizontal="center" vertical="center"/>
    </xf>
    <xf numFmtId="0" fontId="24" fillId="3" borderId="5" xfId="4" applyFont="1" applyFill="1" applyBorder="1" applyAlignment="1">
      <alignment horizontal="center" vertical="center"/>
    </xf>
    <xf numFmtId="0" fontId="24" fillId="3" borderId="6" xfId="4" applyFont="1" applyFill="1" applyBorder="1" applyAlignment="1">
      <alignment horizontal="center" vertical="center"/>
    </xf>
    <xf numFmtId="0" fontId="24" fillId="3" borderId="1" xfId="4" applyFont="1" applyFill="1" applyBorder="1" applyAlignment="1">
      <alignment horizontal="center" vertical="center"/>
    </xf>
    <xf numFmtId="0" fontId="27" fillId="3" borderId="5" xfId="139" applyNumberFormat="1" applyFont="1" applyFill="1" applyBorder="1" applyAlignment="1">
      <alignment horizontal="center" vertical="center"/>
    </xf>
    <xf numFmtId="0" fontId="27" fillId="3" borderId="6" xfId="139" applyNumberFormat="1" applyFont="1" applyFill="1" applyBorder="1" applyAlignment="1">
      <alignment horizontal="center" vertical="center"/>
    </xf>
    <xf numFmtId="0" fontId="27" fillId="3" borderId="5" xfId="4" applyFont="1" applyFill="1" applyBorder="1" applyAlignment="1">
      <alignment horizontal="center" vertical="center"/>
    </xf>
    <xf numFmtId="0" fontId="27" fillId="3" borderId="6" xfId="4" applyFont="1" applyFill="1" applyBorder="1" applyAlignment="1">
      <alignment horizontal="center" vertical="center"/>
    </xf>
  </cellXfs>
  <cellStyles count="150">
    <cellStyle name="Comma 10 3" xfId="55"/>
    <cellStyle name="Comma 12" xfId="56"/>
    <cellStyle name="Comma 2" xfId="1"/>
    <cellStyle name="Comma 2 2" xfId="57"/>
    <cellStyle name="Comma 2 3" xfId="139"/>
    <cellStyle name="Comma 2 3 2" xfId="149"/>
    <cellStyle name="Comma 22" xfId="58"/>
    <cellStyle name="Comma 24" xfId="59"/>
    <cellStyle name="Comma 3" xfId="5"/>
    <cellStyle name="Comma 3 10" xfId="7"/>
    <cellStyle name="Comma 3 2" xfId="10"/>
    <cellStyle name="Comma 3 2 2" xfId="14"/>
    <cellStyle name="Comma 3 2 2 2" xfId="30"/>
    <cellStyle name="Comma 3 2 2 3" xfId="42"/>
    <cellStyle name="Comma 3 2 2 4" xfId="54"/>
    <cellStyle name="Comma 3 2 3" xfId="18"/>
    <cellStyle name="Comma 3 2 3 2" xfId="26"/>
    <cellStyle name="Comma 3 2 3 3" xfId="38"/>
    <cellStyle name="Comma 3 2 3 4" xfId="50"/>
    <cellStyle name="Comma 3 2 4" xfId="22"/>
    <cellStyle name="Comma 3 2 5" xfId="34"/>
    <cellStyle name="Comma 3 2 6" xfId="46"/>
    <cellStyle name="Comma 3 3" xfId="12"/>
    <cellStyle name="Comma 3 3 2" xfId="28"/>
    <cellStyle name="Comma 3 3 3" xfId="40"/>
    <cellStyle name="Comma 3 3 4" xfId="52"/>
    <cellStyle name="Comma 3 4" xfId="16"/>
    <cellStyle name="Comma 3 4 2" xfId="24"/>
    <cellStyle name="Comma 3 4 3" xfId="36"/>
    <cellStyle name="Comma 3 4 4" xfId="48"/>
    <cellStyle name="Comma 3 5" xfId="20"/>
    <cellStyle name="Comma 3 6" xfId="32"/>
    <cellStyle name="Comma 3 7" xfId="44"/>
    <cellStyle name="Comma 3 8" xfId="60"/>
    <cellStyle name="Comma 3 9" xfId="141"/>
    <cellStyle name="Comma 4" xfId="8"/>
    <cellStyle name="Comma 5" xfId="140"/>
    <cellStyle name="Comma0" xfId="61"/>
    <cellStyle name="Currency0" xfId="62"/>
    <cellStyle name="Date" xfId="63"/>
    <cellStyle name="Excel Built-in Normal" xfId="64"/>
    <cellStyle name="Excel Built-in Normal 2" xfId="65"/>
    <cellStyle name="Fixed" xfId="66"/>
    <cellStyle name="Header1" xfId="67"/>
    <cellStyle name="Header2" xfId="68"/>
    <cellStyle name="Heading1" xfId="69"/>
    <cellStyle name="Heading2" xfId="70"/>
    <cellStyle name="Ledger 17 x 11 in" xfId="71"/>
    <cellStyle name="Ledger 17 x 11 in 16" xfId="72"/>
    <cellStyle name="Ledger 17 x 11 in 2" xfId="73"/>
    <cellStyle name="Normal" xfId="0" builtinId="0"/>
    <cellStyle name="Normal 10 3 3 3" xfId="74"/>
    <cellStyle name="Normal 12 2" xfId="75"/>
    <cellStyle name="Normal 1466" xfId="144"/>
    <cellStyle name="Normal 180" xfId="76"/>
    <cellStyle name="Normal 194" xfId="145"/>
    <cellStyle name="Normal 195" xfId="77"/>
    <cellStyle name="Normal 197" xfId="78"/>
    <cellStyle name="Normal 199" xfId="79"/>
    <cellStyle name="Normal 2" xfId="4"/>
    <cellStyle name="Normal 2 10" xfId="81"/>
    <cellStyle name="Normal 2 11" xfId="6"/>
    <cellStyle name="Normal 2 2" xfId="9"/>
    <cellStyle name="Normal 2 2 2" xfId="13"/>
    <cellStyle name="Normal 2 2 2 2" xfId="29"/>
    <cellStyle name="Normal 2 2 2 3" xfId="41"/>
    <cellStyle name="Normal 2 2 2 4" xfId="53"/>
    <cellStyle name="Normal 2 2 3" xfId="17"/>
    <cellStyle name="Normal 2 2 3 2" xfId="25"/>
    <cellStyle name="Normal 2 2 3 3" xfId="37"/>
    <cellStyle name="Normal 2 2 3 4" xfId="49"/>
    <cellStyle name="Normal 2 2 4" xfId="21"/>
    <cellStyle name="Normal 2 2 5" xfId="33"/>
    <cellStyle name="Normal 2 2 6" xfId="45"/>
    <cellStyle name="Normal 2 3" xfId="11"/>
    <cellStyle name="Normal 2 3 2" xfId="27"/>
    <cellStyle name="Normal 2 3 3" xfId="39"/>
    <cellStyle name="Normal 2 3 4" xfId="51"/>
    <cellStyle name="Normal 2 4" xfId="15"/>
    <cellStyle name="Normal 2 4 2" xfId="23"/>
    <cellStyle name="Normal 2 4 3" xfId="35"/>
    <cellStyle name="Normal 2 4 4" xfId="47"/>
    <cellStyle name="Normal 2 5" xfId="19"/>
    <cellStyle name="Normal 2 6" xfId="31"/>
    <cellStyle name="Normal 2 7" xfId="43"/>
    <cellStyle name="Normal 2 8" xfId="80"/>
    <cellStyle name="Normal 2 9" xfId="142"/>
    <cellStyle name="Normal 208 2" xfId="82"/>
    <cellStyle name="Normal 209" xfId="83"/>
    <cellStyle name="Normal 209 2" xfId="84"/>
    <cellStyle name="Normal 21" xfId="85"/>
    <cellStyle name="Normal 21 2" xfId="86"/>
    <cellStyle name="Normal 21 3" xfId="87"/>
    <cellStyle name="Normal 22" xfId="88"/>
    <cellStyle name="Normal 238" xfId="89"/>
    <cellStyle name="Normal 239" xfId="90"/>
    <cellStyle name="Normal 240" xfId="91"/>
    <cellStyle name="Normal 26" xfId="92"/>
    <cellStyle name="Normal 260" xfId="93"/>
    <cellStyle name="Normal 261" xfId="94"/>
    <cellStyle name="Normal 264" xfId="95"/>
    <cellStyle name="Normal 265" xfId="96"/>
    <cellStyle name="Normal 266" xfId="97"/>
    <cellStyle name="Normal 267" xfId="98"/>
    <cellStyle name="Normal 269" xfId="99"/>
    <cellStyle name="Normal 271" xfId="100"/>
    <cellStyle name="Normal 272" xfId="101"/>
    <cellStyle name="Normal 273" xfId="102"/>
    <cellStyle name="Normal 274" xfId="103"/>
    <cellStyle name="Normal 276" xfId="104"/>
    <cellStyle name="Normal 277" xfId="105"/>
    <cellStyle name="Normal 278" xfId="106"/>
    <cellStyle name="Normal 279" xfId="107"/>
    <cellStyle name="Normal 28" xfId="108"/>
    <cellStyle name="Normal 281" xfId="109"/>
    <cellStyle name="Normal 282" xfId="110"/>
    <cellStyle name="Normal 285" xfId="111"/>
    <cellStyle name="Normal 286" xfId="112"/>
    <cellStyle name="Normal 287" xfId="113"/>
    <cellStyle name="Normal 288" xfId="114"/>
    <cellStyle name="Normal 289" xfId="115"/>
    <cellStyle name="Normal 3" xfId="2"/>
    <cellStyle name="Normal 4" xfId="3"/>
    <cellStyle name="Normal 5" xfId="147"/>
    <cellStyle name="Normal 5 2" xfId="143"/>
    <cellStyle name="Normal 5 3" xfId="148"/>
    <cellStyle name="Normal 50" xfId="116"/>
    <cellStyle name="Normal 6 6" xfId="117"/>
    <cellStyle name="Percent 2" xfId="118"/>
    <cellStyle name="Percent 3" xfId="119"/>
    <cellStyle name="Standard_Eröffnungsbeleg - Massenanlage" xfId="120"/>
    <cellStyle name="Style 1" xfId="121"/>
    <cellStyle name="Style 1 3" xfId="122"/>
    <cellStyle name="똿뗦먛귟 [0.00]_PRODUCT DETAIL Q1" xfId="123"/>
    <cellStyle name="똿뗦먛귟_PRODUCT DETAIL Q1" xfId="124"/>
    <cellStyle name="믅됞 [0.00]_PRODUCT DETAIL Q1" xfId="125"/>
    <cellStyle name="믅됞_PRODUCT DETAIL Q1" xfId="126"/>
    <cellStyle name="백분율_95" xfId="127"/>
    <cellStyle name="뷭?_BOOKSHIP" xfId="128"/>
    <cellStyle name="콤마 [0]_1202" xfId="129"/>
    <cellStyle name="콤마_1202" xfId="130"/>
    <cellStyle name="통화 [0]_1202" xfId="131"/>
    <cellStyle name="통화_1202" xfId="132"/>
    <cellStyle name="표준_(정보부문)월별인원계획" xfId="133"/>
    <cellStyle name="一般_Book1" xfId="134"/>
    <cellStyle name="千分位[0]_Book1" xfId="135"/>
    <cellStyle name="千分位_Book1" xfId="136"/>
    <cellStyle name="標準_Sheet1" xfId="146"/>
    <cellStyle name="貨幣 [0]_Book1" xfId="137"/>
    <cellStyle name="貨幣_Book1" xfId="138"/>
  </cellStyles>
  <dxfs count="7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153</xdr:row>
      <xdr:rowOff>0</xdr:rowOff>
    </xdr:from>
    <xdr:to>
      <xdr:col>0</xdr:col>
      <xdr:colOff>0</xdr:colOff>
      <xdr:row>153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000-0000E3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0</xdr:colOff>
      <xdr:row>153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xmlns="" id="{00000000-0008-0000-0000-0000E4010100}"/>
            </a:ext>
          </a:extLst>
        </xdr:cNvPr>
        <xdr:cNvGrpSpPr>
          <a:grpSpLocks/>
        </xdr:cNvGrpSpPr>
      </xdr:nvGrpSpPr>
      <xdr:grpSpPr bwMode="auto">
        <a:xfrm>
          <a:off x="0" y="42702480"/>
          <a:ext cx="0" cy="0"/>
          <a:chOff x="364" y="73"/>
          <a:chExt cx="732" cy="19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xmlns="" id="{00000000-0008-0000-0000-0000E9010100}"/>
              </a:ext>
            </a:extLst>
          </xdr:cNvPr>
          <xdr:cNvSpPr>
            <a:spLocks noChangeArrowheads="1"/>
          </xdr:cNvSpPr>
        </xdr:nvSpPr>
        <xdr:spPr bwMode="auto">
          <a:xfrm>
            <a:off x="364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xmlns="" id="{00000000-0008-0000-0000-0000EA010100}"/>
              </a:ext>
            </a:extLst>
          </xdr:cNvPr>
          <xdr:cNvSpPr>
            <a:spLocks noChangeArrowheads="1"/>
          </xdr:cNvSpPr>
        </xdr:nvSpPr>
        <xdr:spPr bwMode="auto">
          <a:xfrm>
            <a:off x="578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xmlns="" id="{00000000-0008-0000-0000-0000EB010100}"/>
              </a:ext>
            </a:extLst>
          </xdr:cNvPr>
          <xdr:cNvSpPr>
            <a:spLocks noChangeArrowheads="1"/>
          </xdr:cNvSpPr>
        </xdr:nvSpPr>
        <xdr:spPr bwMode="auto">
          <a:xfrm>
            <a:off x="748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xmlns="" id="{00000000-0008-0000-0000-0000EC010100}"/>
              </a:ext>
            </a:extLst>
          </xdr:cNvPr>
          <xdr:cNvSpPr>
            <a:spLocks noChangeArrowheads="1"/>
          </xdr:cNvSpPr>
        </xdr:nvSpPr>
        <xdr:spPr bwMode="auto">
          <a:xfrm>
            <a:off x="913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xmlns="" id="{00000000-0008-0000-0000-0000ED010100}"/>
              </a:ext>
            </a:extLst>
          </xdr:cNvPr>
          <xdr:cNvSpPr>
            <a:spLocks noChangeArrowheads="1"/>
          </xdr:cNvSpPr>
        </xdr:nvSpPr>
        <xdr:spPr bwMode="auto">
          <a:xfrm>
            <a:off x="1077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0</xdr:colOff>
      <xdr:row>153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xmlns="" id="{00000000-0008-0000-0000-0000E5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53"/>
  <sheetViews>
    <sheetView showGridLines="0" tabSelected="1" zoomScaleNormal="100" zoomScaleSheetLayoutView="100" zoomScalePageLayoutView="115" workbookViewId="0">
      <pane xSplit="5" ySplit="2" topLeftCell="F3" activePane="bottomRight" state="frozen"/>
      <selection pane="topRight" activeCell="E1" sqref="E1"/>
      <selection pane="bottomLeft" activeCell="A3" sqref="A3"/>
      <selection pane="bottomRight" activeCell="H4" sqref="H4"/>
    </sheetView>
  </sheetViews>
  <sheetFormatPr defaultColWidth="9.109375" defaultRowHeight="15.6"/>
  <cols>
    <col min="1" max="1" width="6.6640625" style="5" customWidth="1"/>
    <col min="2" max="2" width="45" style="11" customWidth="1"/>
    <col min="3" max="3" width="38.33203125" style="11" customWidth="1"/>
    <col min="4" max="4" width="25.109375" style="12" customWidth="1"/>
    <col min="5" max="5" width="15.44140625" style="12" customWidth="1"/>
    <col min="6" max="6" width="9.5546875" style="12" customWidth="1"/>
    <col min="7" max="7" width="6.6640625" style="6" customWidth="1"/>
    <col min="8" max="8" width="7.44140625" style="14" customWidth="1"/>
    <col min="9" max="9" width="19.109375" style="14" customWidth="1"/>
    <col min="10" max="10" width="16.6640625" style="7" customWidth="1"/>
    <col min="11" max="11" width="14.6640625" style="8" customWidth="1"/>
    <col min="12" max="15" width="6.33203125" style="6" customWidth="1"/>
    <col min="16" max="16" width="7.88671875" style="9" customWidth="1"/>
    <col min="17" max="16384" width="9.109375" style="10"/>
  </cols>
  <sheetData>
    <row r="1" spans="1:16" s="1" customFormat="1">
      <c r="A1" s="41" t="s">
        <v>2</v>
      </c>
      <c r="B1" s="46" t="s">
        <v>6</v>
      </c>
      <c r="C1" s="46" t="s">
        <v>222</v>
      </c>
      <c r="D1" s="46" t="s">
        <v>4</v>
      </c>
      <c r="E1" s="46" t="s">
        <v>0</v>
      </c>
      <c r="F1" s="46" t="s">
        <v>1</v>
      </c>
      <c r="G1" s="39" t="s">
        <v>7</v>
      </c>
      <c r="H1" s="40"/>
      <c r="I1" s="44" t="s">
        <v>213</v>
      </c>
      <c r="J1" s="41" t="s">
        <v>11</v>
      </c>
      <c r="K1" s="43" t="s">
        <v>12</v>
      </c>
      <c r="L1" s="35" t="s">
        <v>53</v>
      </c>
      <c r="M1" s="36"/>
      <c r="N1" s="36"/>
      <c r="O1" s="37"/>
      <c r="P1" s="38" t="s">
        <v>57</v>
      </c>
    </row>
    <row r="2" spans="1:16" s="4" customFormat="1">
      <c r="A2" s="42">
        <v>1</v>
      </c>
      <c r="B2" s="47" t="s">
        <v>8</v>
      </c>
      <c r="C2" s="47"/>
      <c r="D2" s="47"/>
      <c r="E2" s="47"/>
      <c r="F2" s="47"/>
      <c r="G2" s="2" t="s">
        <v>9</v>
      </c>
      <c r="H2" s="13" t="s">
        <v>10</v>
      </c>
      <c r="I2" s="45"/>
      <c r="J2" s="42"/>
      <c r="K2" s="43"/>
      <c r="L2" s="3" t="s">
        <v>51</v>
      </c>
      <c r="M2" s="3" t="s">
        <v>52</v>
      </c>
      <c r="N2" s="3" t="s">
        <v>56</v>
      </c>
      <c r="O2" s="3" t="s">
        <v>55</v>
      </c>
      <c r="P2" s="38"/>
    </row>
    <row r="3" spans="1:16" s="21" customFormat="1">
      <c r="A3" s="17">
        <v>1</v>
      </c>
      <c r="B3" s="18" t="s">
        <v>16</v>
      </c>
      <c r="C3" s="18"/>
      <c r="D3" s="18"/>
      <c r="E3" s="18"/>
      <c r="F3" s="18"/>
      <c r="G3" s="19"/>
      <c r="H3" s="19"/>
      <c r="I3" s="19"/>
      <c r="J3" s="18"/>
      <c r="K3" s="18"/>
      <c r="L3" s="18"/>
      <c r="M3" s="18"/>
      <c r="N3" s="18"/>
      <c r="O3" s="20"/>
    </row>
    <row r="4" spans="1:16" s="24" customFormat="1">
      <c r="A4" s="16" t="s">
        <v>17</v>
      </c>
      <c r="B4" s="15" t="s">
        <v>13</v>
      </c>
      <c r="C4" s="15" t="s">
        <v>30</v>
      </c>
      <c r="D4" s="15" t="s">
        <v>14</v>
      </c>
      <c r="E4" s="15" t="s">
        <v>15</v>
      </c>
      <c r="F4" s="15" t="s">
        <v>3</v>
      </c>
      <c r="G4" s="22"/>
      <c r="H4" s="22">
        <v>1</v>
      </c>
      <c r="I4" s="22"/>
      <c r="J4" s="15"/>
      <c r="K4" s="15"/>
      <c r="L4" s="15"/>
      <c r="M4" s="15"/>
      <c r="N4" s="15"/>
      <c r="O4" s="23"/>
    </row>
    <row r="5" spans="1:16" s="24" customFormat="1">
      <c r="A5" s="16" t="s">
        <v>261</v>
      </c>
      <c r="B5" s="15" t="s">
        <v>214</v>
      </c>
      <c r="C5" s="15"/>
      <c r="D5" s="15" t="s">
        <v>215</v>
      </c>
      <c r="E5" s="15" t="s">
        <v>5</v>
      </c>
      <c r="F5" s="15" t="s">
        <v>3</v>
      </c>
      <c r="G5" s="22"/>
      <c r="H5" s="22">
        <v>1</v>
      </c>
      <c r="I5" s="22"/>
      <c r="J5" s="15"/>
      <c r="K5" s="15"/>
      <c r="L5" s="15"/>
      <c r="M5" s="15"/>
      <c r="N5" s="15"/>
      <c r="O5" s="23"/>
    </row>
    <row r="6" spans="1:16" s="24" customFormat="1">
      <c r="A6" s="16" t="s">
        <v>18</v>
      </c>
      <c r="B6" s="15" t="s">
        <v>216</v>
      </c>
      <c r="C6" s="15"/>
      <c r="D6" s="15" t="s">
        <v>217</v>
      </c>
      <c r="E6" s="15" t="s">
        <v>5</v>
      </c>
      <c r="F6" s="15" t="s">
        <v>3</v>
      </c>
      <c r="G6" s="22"/>
      <c r="H6" s="22">
        <v>1</v>
      </c>
      <c r="I6" s="22"/>
      <c r="J6" s="15"/>
      <c r="K6" s="15"/>
      <c r="L6" s="15"/>
      <c r="M6" s="15"/>
      <c r="N6" s="15"/>
      <c r="O6" s="23"/>
    </row>
    <row r="7" spans="1:16" s="24" customFormat="1">
      <c r="A7" s="16" t="s">
        <v>19</v>
      </c>
      <c r="B7" s="15" t="s">
        <v>218</v>
      </c>
      <c r="C7" s="15"/>
      <c r="D7" s="15" t="s">
        <v>219</v>
      </c>
      <c r="E7" s="15" t="s">
        <v>5</v>
      </c>
      <c r="F7" s="15" t="s">
        <v>3</v>
      </c>
      <c r="G7" s="22"/>
      <c r="H7" s="22">
        <v>1</v>
      </c>
      <c r="I7" s="22"/>
      <c r="J7" s="15"/>
      <c r="K7" s="15"/>
      <c r="L7" s="15"/>
      <c r="M7" s="15"/>
      <c r="N7" s="15"/>
      <c r="O7" s="23"/>
    </row>
    <row r="8" spans="1:16" s="24" customFormat="1" ht="31.2">
      <c r="A8" s="16" t="s">
        <v>20</v>
      </c>
      <c r="B8" s="15" t="s">
        <v>380</v>
      </c>
      <c r="C8" s="15" t="s">
        <v>382</v>
      </c>
      <c r="D8" s="15" t="s">
        <v>381</v>
      </c>
      <c r="E8" s="15" t="s">
        <v>5</v>
      </c>
      <c r="F8" s="15" t="s">
        <v>3</v>
      </c>
      <c r="G8" s="22"/>
      <c r="H8" s="22">
        <v>1</v>
      </c>
      <c r="I8" s="22"/>
      <c r="J8" s="15"/>
      <c r="K8" s="15"/>
      <c r="L8" s="15"/>
      <c r="M8" s="15"/>
      <c r="N8" s="15"/>
      <c r="O8" s="23"/>
    </row>
    <row r="9" spans="1:16" s="24" customFormat="1" ht="31.2">
      <c r="A9" s="16" t="s">
        <v>21</v>
      </c>
      <c r="B9" s="15" t="s">
        <v>224</v>
      </c>
      <c r="C9" s="15" t="s">
        <v>223</v>
      </c>
      <c r="D9" s="15" t="s">
        <v>226</v>
      </c>
      <c r="E9" s="15" t="s">
        <v>5</v>
      </c>
      <c r="F9" s="15" t="s">
        <v>3</v>
      </c>
      <c r="G9" s="22"/>
      <c r="H9" s="22">
        <v>1</v>
      </c>
      <c r="I9" s="22"/>
      <c r="J9" s="15"/>
      <c r="K9" s="15"/>
      <c r="L9" s="15"/>
      <c r="M9" s="15"/>
      <c r="N9" s="15"/>
      <c r="O9" s="23"/>
    </row>
    <row r="10" spans="1:16" s="24" customFormat="1" ht="31.2">
      <c r="A10" s="16" t="s">
        <v>262</v>
      </c>
      <c r="B10" s="15" t="s">
        <v>225</v>
      </c>
      <c r="C10" s="15" t="s">
        <v>220</v>
      </c>
      <c r="D10" s="15" t="s">
        <v>221</v>
      </c>
      <c r="E10" s="15" t="s">
        <v>5</v>
      </c>
      <c r="F10" s="15" t="s">
        <v>3</v>
      </c>
      <c r="G10" s="22"/>
      <c r="H10" s="22">
        <v>1</v>
      </c>
      <c r="I10" s="22"/>
      <c r="J10" s="15"/>
      <c r="K10" s="15"/>
      <c r="L10" s="15"/>
      <c r="M10" s="15"/>
      <c r="N10" s="15"/>
      <c r="O10" s="23"/>
    </row>
    <row r="11" spans="1:16" s="24" customFormat="1" ht="31.2">
      <c r="A11" s="16" t="s">
        <v>45</v>
      </c>
      <c r="B11" s="15" t="s">
        <v>227</v>
      </c>
      <c r="C11" s="15" t="s">
        <v>374</v>
      </c>
      <c r="D11" s="15" t="s">
        <v>228</v>
      </c>
      <c r="E11" s="15" t="s">
        <v>5</v>
      </c>
      <c r="F11" s="15" t="s">
        <v>3</v>
      </c>
      <c r="G11" s="22"/>
      <c r="H11" s="22">
        <v>2</v>
      </c>
      <c r="I11" s="22"/>
      <c r="J11" s="15"/>
      <c r="K11" s="15">
        <f t="shared" ref="K11" si="0">G11/4</f>
        <v>0</v>
      </c>
      <c r="L11" s="15"/>
      <c r="M11" s="15"/>
      <c r="N11" s="15"/>
      <c r="O11" s="23"/>
    </row>
    <row r="12" spans="1:16" s="34" customFormat="1" ht="57.6">
      <c r="A12" s="16" t="s">
        <v>22</v>
      </c>
      <c r="B12" s="31" t="s">
        <v>389</v>
      </c>
      <c r="C12" s="31" t="s">
        <v>391</v>
      </c>
      <c r="D12" s="31" t="s">
        <v>390</v>
      </c>
      <c r="E12" s="31" t="s">
        <v>5</v>
      </c>
      <c r="F12" s="31" t="s">
        <v>3</v>
      </c>
      <c r="G12" s="32"/>
      <c r="H12" s="32">
        <v>4</v>
      </c>
      <c r="I12" s="32"/>
      <c r="J12" s="31"/>
      <c r="K12" s="31"/>
      <c r="L12" s="26">
        <f t="shared" ref="L12" si="1">H12/4</f>
        <v>1</v>
      </c>
      <c r="M12" s="31"/>
      <c r="N12" s="31"/>
      <c r="O12" s="33"/>
    </row>
    <row r="13" spans="1:16" s="24" customFormat="1">
      <c r="A13" s="16" t="s">
        <v>46</v>
      </c>
      <c r="B13" s="15" t="s">
        <v>229</v>
      </c>
      <c r="C13" s="15" t="s">
        <v>163</v>
      </c>
      <c r="D13" s="15" t="s">
        <v>230</v>
      </c>
      <c r="E13" s="15" t="s">
        <v>5</v>
      </c>
      <c r="F13" s="15" t="s">
        <v>3</v>
      </c>
      <c r="G13" s="22"/>
      <c r="H13" s="22">
        <v>1</v>
      </c>
      <c r="I13" s="22"/>
      <c r="J13" s="15"/>
      <c r="K13" s="15"/>
      <c r="L13" s="15"/>
      <c r="M13" s="15"/>
      <c r="N13" s="15"/>
      <c r="O13" s="23"/>
    </row>
    <row r="14" spans="1:16" s="24" customFormat="1" ht="31.2">
      <c r="A14" s="16" t="s">
        <v>265</v>
      </c>
      <c r="B14" s="15" t="s">
        <v>231</v>
      </c>
      <c r="C14" s="15" t="s">
        <v>232</v>
      </c>
      <c r="D14" s="15" t="s">
        <v>257</v>
      </c>
      <c r="E14" s="15" t="s">
        <v>5</v>
      </c>
      <c r="F14" s="15" t="s">
        <v>3</v>
      </c>
      <c r="G14" s="22"/>
      <c r="H14" s="22">
        <v>1</v>
      </c>
      <c r="I14" s="22"/>
      <c r="J14" s="15"/>
      <c r="K14" s="15"/>
      <c r="L14" s="15"/>
      <c r="M14" s="15"/>
      <c r="N14" s="15"/>
      <c r="O14" s="23"/>
    </row>
    <row r="15" spans="1:16" s="24" customFormat="1" ht="46.8">
      <c r="A15" s="16" t="s">
        <v>266</v>
      </c>
      <c r="B15" s="15" t="s">
        <v>259</v>
      </c>
      <c r="C15" s="15" t="s">
        <v>260</v>
      </c>
      <c r="D15" s="15" t="s">
        <v>258</v>
      </c>
      <c r="E15" s="15" t="s">
        <v>5</v>
      </c>
      <c r="F15" s="15" t="s">
        <v>3</v>
      </c>
      <c r="G15" s="22"/>
      <c r="H15" s="22">
        <v>2</v>
      </c>
      <c r="I15" s="22"/>
      <c r="J15" s="15"/>
      <c r="K15" s="15"/>
      <c r="L15" s="15"/>
      <c r="M15" s="15"/>
      <c r="N15" s="15"/>
      <c r="O15" s="23"/>
    </row>
    <row r="16" spans="1:16" s="24" customFormat="1">
      <c r="A16" s="16" t="s">
        <v>392</v>
      </c>
      <c r="B16" s="15" t="s">
        <v>255</v>
      </c>
      <c r="C16" s="15" t="s">
        <v>264</v>
      </c>
      <c r="D16" s="15" t="s">
        <v>256</v>
      </c>
      <c r="E16" s="15" t="s">
        <v>5</v>
      </c>
      <c r="F16" s="15" t="s">
        <v>3</v>
      </c>
      <c r="G16" s="22"/>
      <c r="H16" s="22">
        <v>1</v>
      </c>
      <c r="I16" s="22"/>
      <c r="J16" s="15"/>
      <c r="K16" s="15">
        <v>0</v>
      </c>
      <c r="L16" s="15"/>
      <c r="M16" s="15"/>
      <c r="N16" s="15"/>
      <c r="O16" s="23"/>
    </row>
    <row r="17" spans="1:15" s="24" customFormat="1">
      <c r="A17" s="16"/>
      <c r="B17" s="15" t="s">
        <v>233</v>
      </c>
      <c r="C17" s="15"/>
      <c r="D17" s="15" t="s">
        <v>234</v>
      </c>
      <c r="E17" s="15" t="s">
        <v>5</v>
      </c>
      <c r="F17" s="15" t="s">
        <v>3</v>
      </c>
      <c r="G17" s="22"/>
      <c r="H17" s="22"/>
      <c r="I17" s="22"/>
      <c r="J17" s="15"/>
      <c r="K17" s="15"/>
      <c r="L17" s="15"/>
      <c r="M17" s="15"/>
      <c r="N17" s="15"/>
      <c r="O17" s="23"/>
    </row>
    <row r="18" spans="1:15" s="24" customFormat="1">
      <c r="A18" s="16"/>
      <c r="B18" s="15" t="s">
        <v>235</v>
      </c>
      <c r="C18" s="15"/>
      <c r="D18" s="15" t="s">
        <v>236</v>
      </c>
      <c r="E18" s="15" t="s">
        <v>5</v>
      </c>
      <c r="F18" s="15" t="s">
        <v>3</v>
      </c>
      <c r="G18" s="22"/>
      <c r="H18" s="22"/>
      <c r="I18" s="22"/>
      <c r="J18" s="15"/>
      <c r="K18" s="15"/>
      <c r="L18" s="15"/>
      <c r="M18" s="15"/>
      <c r="N18" s="15"/>
      <c r="O18" s="23"/>
    </row>
    <row r="19" spans="1:15" s="24" customFormat="1">
      <c r="A19" s="16"/>
      <c r="B19" s="15" t="s">
        <v>237</v>
      </c>
      <c r="C19" s="15"/>
      <c r="D19" s="15" t="s">
        <v>238</v>
      </c>
      <c r="E19" s="15" t="s">
        <v>5</v>
      </c>
      <c r="F19" s="15" t="s">
        <v>3</v>
      </c>
      <c r="G19" s="22"/>
      <c r="H19" s="22"/>
      <c r="I19" s="22"/>
      <c r="J19" s="15"/>
      <c r="K19" s="15"/>
      <c r="L19" s="15"/>
      <c r="M19" s="15"/>
      <c r="N19" s="15"/>
      <c r="O19" s="23"/>
    </row>
    <row r="20" spans="1:15" s="24" customFormat="1">
      <c r="A20" s="16"/>
      <c r="B20" s="15" t="s">
        <v>239</v>
      </c>
      <c r="C20" s="15"/>
      <c r="D20" s="15" t="s">
        <v>240</v>
      </c>
      <c r="E20" s="15" t="s">
        <v>5</v>
      </c>
      <c r="F20" s="15" t="s">
        <v>3</v>
      </c>
      <c r="G20" s="22"/>
      <c r="H20" s="22"/>
      <c r="I20" s="22"/>
      <c r="J20" s="15"/>
      <c r="K20" s="15"/>
      <c r="L20" s="15"/>
      <c r="M20" s="15"/>
      <c r="N20" s="15"/>
      <c r="O20" s="23"/>
    </row>
    <row r="21" spans="1:15" s="24" customFormat="1">
      <c r="A21" s="16"/>
      <c r="B21" s="15" t="s">
        <v>241</v>
      </c>
      <c r="C21" s="15"/>
      <c r="D21" s="15" t="s">
        <v>242</v>
      </c>
      <c r="E21" s="15" t="s">
        <v>5</v>
      </c>
      <c r="F21" s="15" t="s">
        <v>3</v>
      </c>
      <c r="G21" s="22"/>
      <c r="H21" s="22"/>
      <c r="I21" s="22"/>
      <c r="J21" s="15"/>
      <c r="K21" s="15"/>
      <c r="L21" s="15"/>
      <c r="M21" s="15"/>
      <c r="N21" s="15"/>
      <c r="O21" s="23"/>
    </row>
    <row r="22" spans="1:15" s="24" customFormat="1">
      <c r="A22" s="16"/>
      <c r="B22" s="15" t="s">
        <v>243</v>
      </c>
      <c r="C22" s="15"/>
      <c r="D22" s="15" t="s">
        <v>244</v>
      </c>
      <c r="E22" s="15" t="s">
        <v>5</v>
      </c>
      <c r="F22" s="15" t="s">
        <v>3</v>
      </c>
      <c r="G22" s="22"/>
      <c r="H22" s="22"/>
      <c r="I22" s="22"/>
      <c r="J22" s="15"/>
      <c r="K22" s="15"/>
      <c r="L22" s="15"/>
      <c r="M22" s="15"/>
      <c r="N22" s="15"/>
      <c r="O22" s="23"/>
    </row>
    <row r="23" spans="1:15" s="24" customFormat="1">
      <c r="A23" s="16"/>
      <c r="B23" s="15" t="s">
        <v>245</v>
      </c>
      <c r="C23" s="15"/>
      <c r="D23" s="15" t="s">
        <v>246</v>
      </c>
      <c r="E23" s="15" t="s">
        <v>5</v>
      </c>
      <c r="F23" s="15" t="s">
        <v>198</v>
      </c>
      <c r="G23" s="22"/>
      <c r="H23" s="22"/>
      <c r="I23" s="22"/>
      <c r="J23" s="15"/>
      <c r="K23" s="15"/>
      <c r="L23" s="15"/>
      <c r="M23" s="15"/>
      <c r="N23" s="15"/>
      <c r="O23" s="23"/>
    </row>
    <row r="24" spans="1:15" s="24" customFormat="1">
      <c r="A24" s="16"/>
      <c r="B24" s="15" t="s">
        <v>247</v>
      </c>
      <c r="C24" s="15"/>
      <c r="D24" s="15" t="s">
        <v>248</v>
      </c>
      <c r="E24" s="15" t="s">
        <v>5</v>
      </c>
      <c r="F24" s="15" t="s">
        <v>198</v>
      </c>
      <c r="G24" s="22"/>
      <c r="H24" s="22"/>
      <c r="I24" s="22"/>
      <c r="J24" s="15"/>
      <c r="K24" s="15"/>
      <c r="L24" s="15"/>
      <c r="M24" s="15"/>
      <c r="N24" s="15"/>
      <c r="O24" s="23"/>
    </row>
    <row r="25" spans="1:15" s="24" customFormat="1">
      <c r="A25" s="16"/>
      <c r="B25" s="15" t="s">
        <v>249</v>
      </c>
      <c r="C25" s="15"/>
      <c r="D25" s="15" t="s">
        <v>250</v>
      </c>
      <c r="E25" s="15" t="s">
        <v>5</v>
      </c>
      <c r="F25" s="15" t="s">
        <v>198</v>
      </c>
      <c r="G25" s="22"/>
      <c r="H25" s="22"/>
      <c r="I25" s="22"/>
      <c r="J25" s="15"/>
      <c r="K25" s="15"/>
      <c r="L25" s="15"/>
      <c r="M25" s="15"/>
      <c r="N25" s="15"/>
      <c r="O25" s="23"/>
    </row>
    <row r="26" spans="1:15" s="24" customFormat="1">
      <c r="A26" s="16"/>
      <c r="B26" s="15" t="s">
        <v>251</v>
      </c>
      <c r="C26" s="15"/>
      <c r="D26" s="15" t="s">
        <v>252</v>
      </c>
      <c r="E26" s="15" t="s">
        <v>5</v>
      </c>
      <c r="F26" s="15" t="s">
        <v>3</v>
      </c>
      <c r="G26" s="22"/>
      <c r="H26" s="22"/>
      <c r="I26" s="22"/>
      <c r="J26" s="15"/>
      <c r="K26" s="15">
        <v>0</v>
      </c>
      <c r="L26" s="15"/>
      <c r="M26" s="15"/>
      <c r="N26" s="15"/>
      <c r="O26" s="23"/>
    </row>
    <row r="27" spans="1:15" s="24" customFormat="1">
      <c r="A27" s="16"/>
      <c r="B27" s="15" t="s">
        <v>253</v>
      </c>
      <c r="C27" s="15" t="s">
        <v>263</v>
      </c>
      <c r="D27" s="15" t="s">
        <v>254</v>
      </c>
      <c r="E27" s="15" t="s">
        <v>5</v>
      </c>
      <c r="F27" s="15" t="s">
        <v>3</v>
      </c>
      <c r="G27" s="22"/>
      <c r="H27" s="22"/>
      <c r="I27" s="22"/>
      <c r="J27" s="15"/>
      <c r="K27" s="15"/>
      <c r="L27" s="15">
        <v>0</v>
      </c>
      <c r="M27" s="15"/>
      <c r="N27" s="15"/>
      <c r="O27" s="23"/>
    </row>
    <row r="28" spans="1:15" s="24" customFormat="1">
      <c r="A28" s="16"/>
      <c r="B28" s="15" t="s">
        <v>191</v>
      </c>
      <c r="C28" s="15"/>
      <c r="D28" s="15" t="s">
        <v>192</v>
      </c>
      <c r="E28" s="15" t="s">
        <v>5</v>
      </c>
      <c r="F28" s="15" t="s">
        <v>3</v>
      </c>
      <c r="G28" s="22"/>
      <c r="H28" s="22"/>
      <c r="I28" s="22"/>
      <c r="J28" s="15"/>
      <c r="K28" s="15"/>
      <c r="L28" s="15"/>
      <c r="M28" s="15"/>
      <c r="N28" s="15"/>
      <c r="O28" s="23"/>
    </row>
    <row r="29" spans="1:15" s="24" customFormat="1">
      <c r="A29" s="16"/>
      <c r="B29" s="15" t="s">
        <v>179</v>
      </c>
      <c r="C29" s="15"/>
      <c r="D29" s="15" t="s">
        <v>180</v>
      </c>
      <c r="E29" s="15" t="s">
        <v>5</v>
      </c>
      <c r="F29" s="15" t="s">
        <v>3</v>
      </c>
      <c r="G29" s="22"/>
      <c r="H29" s="22"/>
      <c r="I29" s="22"/>
      <c r="J29" s="15"/>
      <c r="K29" s="15"/>
      <c r="L29" s="15"/>
      <c r="M29" s="15"/>
      <c r="N29" s="15"/>
      <c r="O29" s="23"/>
    </row>
    <row r="30" spans="1:15" s="24" customFormat="1">
      <c r="A30" s="16"/>
      <c r="B30" s="15" t="s">
        <v>181</v>
      </c>
      <c r="C30" s="15"/>
      <c r="D30" s="15" t="s">
        <v>182</v>
      </c>
      <c r="E30" s="15" t="s">
        <v>5</v>
      </c>
      <c r="F30" s="15" t="s">
        <v>3</v>
      </c>
      <c r="G30" s="22"/>
      <c r="H30" s="22"/>
      <c r="I30" s="22"/>
      <c r="J30" s="15"/>
      <c r="K30" s="15"/>
      <c r="L30" s="15"/>
      <c r="M30" s="15"/>
      <c r="N30" s="15"/>
      <c r="O30" s="23"/>
    </row>
    <row r="31" spans="1:15" s="24" customFormat="1">
      <c r="A31" s="16"/>
      <c r="B31" s="15" t="s">
        <v>183</v>
      </c>
      <c r="C31" s="15"/>
      <c r="D31" s="15" t="s">
        <v>184</v>
      </c>
      <c r="E31" s="15" t="s">
        <v>5</v>
      </c>
      <c r="F31" s="15" t="s">
        <v>3</v>
      </c>
      <c r="G31" s="22"/>
      <c r="H31" s="22"/>
      <c r="I31" s="22"/>
      <c r="J31" s="15"/>
      <c r="K31" s="15"/>
      <c r="L31" s="15"/>
      <c r="M31" s="15"/>
      <c r="N31" s="15"/>
      <c r="O31" s="23"/>
    </row>
    <row r="32" spans="1:15" s="24" customFormat="1">
      <c r="A32" s="16"/>
      <c r="B32" s="15" t="s">
        <v>185</v>
      </c>
      <c r="C32" s="15"/>
      <c r="D32" s="15" t="s">
        <v>186</v>
      </c>
      <c r="E32" s="15" t="s">
        <v>5</v>
      </c>
      <c r="F32" s="15" t="s">
        <v>3</v>
      </c>
      <c r="G32" s="22"/>
      <c r="H32" s="22"/>
      <c r="I32" s="22"/>
      <c r="J32" s="15"/>
      <c r="K32" s="15"/>
      <c r="L32" s="15"/>
      <c r="M32" s="15"/>
      <c r="N32" s="15"/>
      <c r="O32" s="23"/>
    </row>
    <row r="33" spans="1:15" s="24" customFormat="1">
      <c r="A33" s="16"/>
      <c r="B33" s="15" t="s">
        <v>187</v>
      </c>
      <c r="C33" s="15"/>
      <c r="D33" s="15" t="s">
        <v>188</v>
      </c>
      <c r="E33" s="15" t="s">
        <v>5</v>
      </c>
      <c r="F33" s="15" t="s">
        <v>3</v>
      </c>
      <c r="G33" s="22"/>
      <c r="H33" s="22"/>
      <c r="I33" s="22"/>
      <c r="J33" s="15"/>
      <c r="K33" s="15"/>
      <c r="L33" s="15"/>
      <c r="M33" s="15"/>
      <c r="N33" s="15"/>
      <c r="O33" s="23"/>
    </row>
    <row r="34" spans="1:15" s="24" customFormat="1">
      <c r="A34" s="16"/>
      <c r="B34" s="15" t="s">
        <v>189</v>
      </c>
      <c r="C34" s="15"/>
      <c r="D34" s="15" t="s">
        <v>190</v>
      </c>
      <c r="E34" s="15" t="s">
        <v>5</v>
      </c>
      <c r="F34" s="15" t="s">
        <v>3</v>
      </c>
      <c r="G34" s="22"/>
      <c r="H34" s="22"/>
      <c r="I34" s="22"/>
      <c r="J34" s="15"/>
      <c r="K34" s="15"/>
      <c r="L34" s="15"/>
      <c r="M34" s="15"/>
      <c r="N34" s="15"/>
      <c r="O34" s="23"/>
    </row>
    <row r="35" spans="1:15" s="24" customFormat="1">
      <c r="A35" s="16"/>
      <c r="B35" s="15" t="s">
        <v>200</v>
      </c>
      <c r="C35" s="15"/>
      <c r="D35" s="15" t="s">
        <v>172</v>
      </c>
      <c r="E35" s="15" t="s">
        <v>5</v>
      </c>
      <c r="F35" s="15" t="s">
        <v>3</v>
      </c>
      <c r="G35" s="22"/>
      <c r="H35" s="22"/>
      <c r="I35" s="22"/>
      <c r="J35" s="15"/>
      <c r="K35" s="15"/>
      <c r="L35" s="15"/>
      <c r="M35" s="15"/>
      <c r="N35" s="15"/>
      <c r="O35" s="23"/>
    </row>
    <row r="36" spans="1:15" s="24" customFormat="1">
      <c r="A36" s="16"/>
      <c r="B36" s="15" t="s">
        <v>201</v>
      </c>
      <c r="C36" s="15"/>
      <c r="D36" s="15" t="s">
        <v>174</v>
      </c>
      <c r="E36" s="15" t="s">
        <v>5</v>
      </c>
      <c r="F36" s="15" t="s">
        <v>3</v>
      </c>
      <c r="G36" s="22"/>
      <c r="H36" s="22"/>
      <c r="I36" s="22"/>
      <c r="J36" s="15"/>
      <c r="K36" s="15"/>
      <c r="L36" s="15"/>
      <c r="M36" s="15"/>
      <c r="N36" s="15"/>
      <c r="O36" s="23"/>
    </row>
    <row r="37" spans="1:15" s="24" customFormat="1">
      <c r="A37" s="16"/>
      <c r="B37" s="15" t="s">
        <v>202</v>
      </c>
      <c r="C37" s="15" t="s">
        <v>193</v>
      </c>
      <c r="D37" s="15" t="s">
        <v>196</v>
      </c>
      <c r="E37" s="15" t="s">
        <v>5</v>
      </c>
      <c r="F37" s="15" t="s">
        <v>3</v>
      </c>
      <c r="G37" s="22"/>
      <c r="H37" s="22"/>
      <c r="I37" s="22"/>
      <c r="J37" s="15"/>
      <c r="K37" s="15"/>
      <c r="L37" s="15"/>
      <c r="M37" s="15"/>
      <c r="N37" s="15"/>
      <c r="O37" s="23"/>
    </row>
    <row r="38" spans="1:15" s="24" customFormat="1">
      <c r="A38" s="16"/>
      <c r="B38" s="15" t="s">
        <v>203</v>
      </c>
      <c r="C38" s="15" t="s">
        <v>194</v>
      </c>
      <c r="D38" s="15" t="s">
        <v>195</v>
      </c>
      <c r="E38" s="15" t="s">
        <v>5</v>
      </c>
      <c r="F38" s="15" t="s">
        <v>3</v>
      </c>
      <c r="G38" s="22"/>
      <c r="H38" s="22"/>
      <c r="I38" s="22"/>
      <c r="J38" s="15"/>
      <c r="K38" s="15"/>
      <c r="L38" s="15"/>
      <c r="M38" s="15"/>
      <c r="N38" s="15"/>
      <c r="O38" s="23"/>
    </row>
    <row r="39" spans="1:15" s="24" customFormat="1" ht="31.2">
      <c r="A39" s="16"/>
      <c r="B39" s="15" t="s">
        <v>197</v>
      </c>
      <c r="C39" s="15" t="s">
        <v>208</v>
      </c>
      <c r="D39" s="15"/>
      <c r="E39" s="15" t="s">
        <v>210</v>
      </c>
      <c r="F39" s="15" t="s">
        <v>198</v>
      </c>
      <c r="G39" s="22"/>
      <c r="H39" s="22"/>
      <c r="I39" s="22"/>
      <c r="J39" s="15"/>
      <c r="K39" s="15"/>
      <c r="L39" s="15"/>
      <c r="M39" s="15"/>
      <c r="N39" s="15"/>
      <c r="O39" s="23"/>
    </row>
    <row r="40" spans="1:15" s="24" customFormat="1" ht="46.8">
      <c r="A40" s="16"/>
      <c r="B40" s="15" t="s">
        <v>199</v>
      </c>
      <c r="C40" s="15" t="s">
        <v>209</v>
      </c>
      <c r="D40" s="15"/>
      <c r="E40" s="15" t="s">
        <v>210</v>
      </c>
      <c r="F40" s="15" t="s">
        <v>198</v>
      </c>
      <c r="G40" s="22"/>
      <c r="H40" s="22"/>
      <c r="I40" s="22"/>
      <c r="J40" s="15"/>
      <c r="K40" s="15"/>
      <c r="L40" s="15"/>
      <c r="M40" s="15"/>
      <c r="N40" s="15"/>
      <c r="O40" s="23"/>
    </row>
    <row r="41" spans="1:15" s="24" customFormat="1" ht="31.2">
      <c r="A41" s="16"/>
      <c r="B41" s="15" t="s">
        <v>191</v>
      </c>
      <c r="C41" s="15" t="s">
        <v>267</v>
      </c>
      <c r="D41" s="15" t="s">
        <v>192</v>
      </c>
      <c r="E41" s="15" t="s">
        <v>5</v>
      </c>
      <c r="F41" s="15" t="s">
        <v>3</v>
      </c>
      <c r="G41" s="22"/>
      <c r="H41" s="22"/>
      <c r="I41" s="22"/>
      <c r="J41" s="15"/>
      <c r="K41" s="15"/>
      <c r="L41" s="15"/>
      <c r="M41" s="15"/>
      <c r="N41" s="15"/>
      <c r="O41" s="23"/>
    </row>
    <row r="42" spans="1:15" s="24" customFormat="1">
      <c r="A42" s="16"/>
      <c r="B42" s="15" t="s">
        <v>181</v>
      </c>
      <c r="C42" s="15"/>
      <c r="D42" s="15" t="s">
        <v>182</v>
      </c>
      <c r="E42" s="15" t="s">
        <v>5</v>
      </c>
      <c r="F42" s="15" t="s">
        <v>3</v>
      </c>
      <c r="G42" s="22"/>
      <c r="H42" s="22"/>
      <c r="I42" s="22"/>
      <c r="J42" s="15"/>
      <c r="K42" s="15"/>
      <c r="L42" s="15"/>
      <c r="M42" s="15"/>
      <c r="N42" s="15"/>
      <c r="O42" s="23"/>
    </row>
    <row r="43" spans="1:15" s="24" customFormat="1">
      <c r="A43" s="16"/>
      <c r="B43" s="15" t="s">
        <v>270</v>
      </c>
      <c r="C43" s="15"/>
      <c r="D43" s="15" t="s">
        <v>271</v>
      </c>
      <c r="E43" s="15" t="s">
        <v>5</v>
      </c>
      <c r="F43" s="15" t="s">
        <v>3</v>
      </c>
      <c r="G43" s="22"/>
      <c r="H43" s="22"/>
      <c r="I43" s="22"/>
      <c r="J43" s="15"/>
      <c r="K43" s="15"/>
      <c r="L43" s="15"/>
      <c r="M43" s="15"/>
      <c r="N43" s="15"/>
      <c r="O43" s="23"/>
    </row>
    <row r="44" spans="1:15" s="24" customFormat="1">
      <c r="A44" s="16"/>
      <c r="B44" s="15" t="s">
        <v>272</v>
      </c>
      <c r="C44" s="15"/>
      <c r="D44" s="15" t="s">
        <v>273</v>
      </c>
      <c r="E44" s="15" t="s">
        <v>5</v>
      </c>
      <c r="F44" s="15" t="s">
        <v>3</v>
      </c>
      <c r="G44" s="22"/>
      <c r="H44" s="22"/>
      <c r="I44" s="22"/>
      <c r="J44" s="15"/>
      <c r="K44" s="15"/>
      <c r="L44" s="15"/>
      <c r="M44" s="15"/>
      <c r="N44" s="15"/>
      <c r="O44" s="23"/>
    </row>
    <row r="45" spans="1:15" s="24" customFormat="1">
      <c r="A45" s="16"/>
      <c r="B45" s="15" t="s">
        <v>274</v>
      </c>
      <c r="C45" s="15"/>
      <c r="D45" s="15" t="s">
        <v>275</v>
      </c>
      <c r="E45" s="15" t="s">
        <v>5</v>
      </c>
      <c r="F45" s="15" t="s">
        <v>3</v>
      </c>
      <c r="G45" s="22"/>
      <c r="H45" s="22"/>
      <c r="I45" s="22"/>
      <c r="J45" s="15"/>
      <c r="K45" s="15"/>
      <c r="L45" s="15"/>
      <c r="M45" s="15"/>
      <c r="N45" s="15"/>
      <c r="O45" s="23"/>
    </row>
    <row r="46" spans="1:15" s="24" customFormat="1" ht="31.2">
      <c r="A46" s="16"/>
      <c r="B46" s="15" t="s">
        <v>276</v>
      </c>
      <c r="C46" s="15" t="s">
        <v>268</v>
      </c>
      <c r="D46" s="15" t="s">
        <v>277</v>
      </c>
      <c r="E46" s="15" t="s">
        <v>5</v>
      </c>
      <c r="F46" s="15" t="s">
        <v>3</v>
      </c>
      <c r="G46" s="22"/>
      <c r="H46" s="22"/>
      <c r="I46" s="22"/>
      <c r="J46" s="15"/>
      <c r="K46" s="15"/>
      <c r="L46" s="15"/>
      <c r="M46" s="15"/>
      <c r="N46" s="15"/>
      <c r="O46" s="23"/>
    </row>
    <row r="47" spans="1:15" s="24" customFormat="1">
      <c r="A47" s="16"/>
      <c r="B47" s="15" t="s">
        <v>278</v>
      </c>
      <c r="C47" s="15" t="s">
        <v>269</v>
      </c>
      <c r="D47" s="15" t="s">
        <v>279</v>
      </c>
      <c r="E47" s="15" t="s">
        <v>5</v>
      </c>
      <c r="F47" s="15" t="s">
        <v>3</v>
      </c>
      <c r="G47" s="22"/>
      <c r="H47" s="22"/>
      <c r="I47" s="22"/>
      <c r="J47" s="15"/>
      <c r="K47" s="15"/>
      <c r="L47" s="15"/>
      <c r="M47" s="15"/>
      <c r="N47" s="15"/>
      <c r="O47" s="23"/>
    </row>
    <row r="48" spans="1:15" s="24" customFormat="1">
      <c r="A48" s="16"/>
      <c r="B48" s="15" t="s">
        <v>183</v>
      </c>
      <c r="C48" s="15"/>
      <c r="D48" s="15" t="s">
        <v>184</v>
      </c>
      <c r="E48" s="15" t="s">
        <v>5</v>
      </c>
      <c r="F48" s="15" t="s">
        <v>3</v>
      </c>
      <c r="G48" s="22"/>
      <c r="H48" s="22"/>
      <c r="I48" s="22"/>
      <c r="J48" s="15"/>
      <c r="K48" s="15"/>
      <c r="L48" s="15"/>
      <c r="M48" s="15"/>
      <c r="N48" s="15"/>
      <c r="O48" s="23"/>
    </row>
    <row r="49" spans="1:15" s="24" customFormat="1">
      <c r="A49" s="16"/>
      <c r="B49" s="15" t="s">
        <v>185</v>
      </c>
      <c r="C49" s="15"/>
      <c r="D49" s="15" t="s">
        <v>186</v>
      </c>
      <c r="E49" s="15" t="s">
        <v>5</v>
      </c>
      <c r="F49" s="15" t="s">
        <v>3</v>
      </c>
      <c r="G49" s="22"/>
      <c r="H49" s="22"/>
      <c r="I49" s="22"/>
      <c r="J49" s="15"/>
      <c r="K49" s="15"/>
      <c r="L49" s="15"/>
      <c r="M49" s="15"/>
      <c r="N49" s="15"/>
      <c r="O49" s="23"/>
    </row>
    <row r="50" spans="1:15" s="24" customFormat="1">
      <c r="A50" s="16"/>
      <c r="B50" s="15" t="s">
        <v>187</v>
      </c>
      <c r="C50" s="15"/>
      <c r="D50" s="15" t="s">
        <v>188</v>
      </c>
      <c r="E50" s="15" t="s">
        <v>5</v>
      </c>
      <c r="F50" s="15" t="s">
        <v>3</v>
      </c>
      <c r="G50" s="22"/>
      <c r="H50" s="22"/>
      <c r="I50" s="22"/>
      <c r="J50" s="15"/>
      <c r="K50" s="15"/>
      <c r="L50" s="15"/>
      <c r="M50" s="15"/>
      <c r="N50" s="15"/>
      <c r="O50" s="23"/>
    </row>
    <row r="51" spans="1:15" s="24" customFormat="1">
      <c r="A51" s="16"/>
      <c r="B51" s="15" t="s">
        <v>189</v>
      </c>
      <c r="C51" s="15"/>
      <c r="D51" s="15" t="s">
        <v>190</v>
      </c>
      <c r="E51" s="15" t="s">
        <v>5</v>
      </c>
      <c r="F51" s="15" t="s">
        <v>3</v>
      </c>
      <c r="G51" s="22"/>
      <c r="H51" s="22"/>
      <c r="I51" s="22"/>
      <c r="J51" s="15"/>
      <c r="K51" s="15"/>
      <c r="L51" s="15"/>
      <c r="M51" s="15"/>
      <c r="N51" s="15"/>
      <c r="O51" s="23"/>
    </row>
    <row r="52" spans="1:15" s="24" customFormat="1">
      <c r="A52" s="16"/>
      <c r="B52" s="15" t="s">
        <v>280</v>
      </c>
      <c r="C52" s="15"/>
      <c r="D52" s="15" t="s">
        <v>281</v>
      </c>
      <c r="E52" s="15" t="s">
        <v>5</v>
      </c>
      <c r="F52" s="15" t="s">
        <v>3</v>
      </c>
      <c r="G52" s="22"/>
      <c r="H52" s="22"/>
      <c r="I52" s="22"/>
      <c r="J52" s="15"/>
      <c r="K52" s="15"/>
      <c r="L52" s="15"/>
      <c r="M52" s="15"/>
      <c r="N52" s="15"/>
      <c r="O52" s="23"/>
    </row>
    <row r="53" spans="1:15" s="24" customFormat="1">
      <c r="A53" s="16"/>
      <c r="B53" s="15" t="s">
        <v>282</v>
      </c>
      <c r="C53" s="15"/>
      <c r="D53" s="15" t="s">
        <v>283</v>
      </c>
      <c r="E53" s="15"/>
      <c r="F53" s="15"/>
      <c r="G53" s="22"/>
      <c r="H53" s="22"/>
      <c r="I53" s="22"/>
      <c r="J53" s="15"/>
      <c r="K53" s="15"/>
      <c r="L53" s="15"/>
      <c r="M53" s="15"/>
      <c r="N53" s="15"/>
      <c r="O53" s="23"/>
    </row>
    <row r="54" spans="1:15" s="24" customFormat="1">
      <c r="A54" s="16"/>
      <c r="B54" s="15" t="s">
        <v>284</v>
      </c>
      <c r="C54" s="15"/>
      <c r="D54" s="15" t="s">
        <v>285</v>
      </c>
      <c r="E54" s="15" t="s">
        <v>5</v>
      </c>
      <c r="F54" s="15" t="s">
        <v>3</v>
      </c>
      <c r="G54" s="22"/>
      <c r="H54" s="22"/>
      <c r="I54" s="22"/>
      <c r="J54" s="15"/>
      <c r="K54" s="15"/>
      <c r="L54" s="15"/>
      <c r="M54" s="15"/>
      <c r="N54" s="15"/>
      <c r="O54" s="23"/>
    </row>
    <row r="55" spans="1:15" s="24" customFormat="1" ht="46.8">
      <c r="A55" s="16"/>
      <c r="B55" s="15" t="s">
        <v>286</v>
      </c>
      <c r="C55" s="15" t="s">
        <v>287</v>
      </c>
      <c r="D55" s="15" t="s">
        <v>174</v>
      </c>
      <c r="E55" s="15" t="s">
        <v>5</v>
      </c>
      <c r="F55" s="15" t="s">
        <v>3</v>
      </c>
      <c r="G55" s="22"/>
      <c r="H55" s="22"/>
      <c r="I55" s="22"/>
      <c r="J55" s="15"/>
      <c r="K55" s="15"/>
      <c r="L55" s="15"/>
      <c r="M55" s="15"/>
      <c r="N55" s="15"/>
      <c r="O55" s="23"/>
    </row>
    <row r="56" spans="1:15" s="24" customFormat="1">
      <c r="A56" s="16"/>
      <c r="B56" s="15" t="s">
        <v>288</v>
      </c>
      <c r="C56" s="15" t="s">
        <v>289</v>
      </c>
      <c r="D56" s="15" t="s">
        <v>196</v>
      </c>
      <c r="E56" s="15" t="s">
        <v>5</v>
      </c>
      <c r="F56" s="15" t="s">
        <v>3</v>
      </c>
      <c r="G56" s="22"/>
      <c r="H56" s="22"/>
      <c r="I56" s="22"/>
      <c r="J56" s="15"/>
      <c r="K56" s="15"/>
      <c r="L56" s="15"/>
      <c r="M56" s="15"/>
      <c r="N56" s="15"/>
      <c r="O56" s="23"/>
    </row>
    <row r="57" spans="1:15" s="24" customFormat="1" ht="31.2">
      <c r="A57" s="16"/>
      <c r="B57" s="15" t="s">
        <v>290</v>
      </c>
      <c r="C57" s="15" t="s">
        <v>291</v>
      </c>
      <c r="D57" s="15" t="s">
        <v>195</v>
      </c>
      <c r="E57" s="15" t="s">
        <v>5</v>
      </c>
      <c r="F57" s="15" t="s">
        <v>3</v>
      </c>
      <c r="G57" s="22"/>
      <c r="H57" s="22"/>
      <c r="I57" s="22"/>
      <c r="J57" s="15"/>
      <c r="K57" s="15"/>
      <c r="L57" s="15"/>
      <c r="M57" s="15"/>
      <c r="N57" s="15"/>
      <c r="O57" s="23"/>
    </row>
    <row r="58" spans="1:15" s="24" customFormat="1" ht="62.4">
      <c r="A58" s="16"/>
      <c r="B58" s="15" t="s">
        <v>197</v>
      </c>
      <c r="C58" s="15" t="s">
        <v>292</v>
      </c>
      <c r="D58" s="15"/>
      <c r="E58" s="15" t="s">
        <v>210</v>
      </c>
      <c r="F58" s="15" t="s">
        <v>198</v>
      </c>
      <c r="G58" s="22"/>
      <c r="H58" s="22"/>
      <c r="I58" s="22"/>
      <c r="J58" s="15"/>
      <c r="K58" s="15"/>
      <c r="L58" s="15"/>
      <c r="M58" s="15"/>
      <c r="N58" s="15"/>
      <c r="O58" s="23"/>
    </row>
    <row r="59" spans="1:15" s="24" customFormat="1" ht="62.4">
      <c r="A59" s="16"/>
      <c r="B59" s="15" t="s">
        <v>199</v>
      </c>
      <c r="C59" s="15" t="s">
        <v>293</v>
      </c>
      <c r="D59" s="15"/>
      <c r="E59" s="15" t="s">
        <v>210</v>
      </c>
      <c r="F59" s="15" t="s">
        <v>198</v>
      </c>
      <c r="G59" s="22"/>
      <c r="H59" s="22"/>
      <c r="I59" s="22"/>
      <c r="J59" s="15"/>
      <c r="K59" s="15"/>
      <c r="L59" s="15"/>
      <c r="M59" s="15"/>
      <c r="N59" s="15"/>
      <c r="O59" s="23"/>
    </row>
    <row r="60" spans="1:15" s="24" customFormat="1" ht="46.8">
      <c r="A60" s="16"/>
      <c r="B60" s="15" t="s">
        <v>294</v>
      </c>
      <c r="C60" s="15" t="s">
        <v>295</v>
      </c>
      <c r="D60" s="15"/>
      <c r="E60" s="15" t="s">
        <v>210</v>
      </c>
      <c r="F60" s="15" t="s">
        <v>198</v>
      </c>
      <c r="G60" s="22"/>
      <c r="H60" s="22"/>
      <c r="I60" s="22"/>
      <c r="J60" s="15"/>
      <c r="K60" s="15"/>
      <c r="L60" s="15"/>
      <c r="M60" s="15"/>
      <c r="N60" s="15"/>
      <c r="O60" s="23"/>
    </row>
    <row r="61" spans="1:15" s="24" customFormat="1">
      <c r="A61" s="16"/>
      <c r="B61" s="15" t="s">
        <v>296</v>
      </c>
      <c r="C61" s="15" t="s">
        <v>297</v>
      </c>
      <c r="D61" s="15"/>
      <c r="E61" s="15" t="s">
        <v>210</v>
      </c>
      <c r="F61" s="15" t="s">
        <v>198</v>
      </c>
      <c r="G61" s="22"/>
      <c r="H61" s="22"/>
      <c r="I61" s="22"/>
      <c r="J61" s="15"/>
      <c r="K61" s="15"/>
      <c r="L61" s="15"/>
      <c r="M61" s="15"/>
      <c r="N61" s="15"/>
      <c r="O61" s="23"/>
    </row>
    <row r="62" spans="1:15" s="24" customFormat="1">
      <c r="A62" s="16"/>
      <c r="B62" s="15" t="s">
        <v>298</v>
      </c>
      <c r="C62" s="15" t="s">
        <v>299</v>
      </c>
      <c r="D62" s="15" t="s">
        <v>300</v>
      </c>
      <c r="E62" s="15" t="s">
        <v>5</v>
      </c>
      <c r="F62" s="15"/>
      <c r="G62" s="22"/>
      <c r="H62" s="22"/>
      <c r="I62" s="22"/>
      <c r="J62" s="15"/>
      <c r="K62" s="15"/>
      <c r="L62" s="15"/>
      <c r="M62" s="15"/>
      <c r="N62" s="15"/>
      <c r="O62" s="23"/>
    </row>
    <row r="63" spans="1:15" s="24" customFormat="1">
      <c r="A63" s="16">
        <v>2</v>
      </c>
      <c r="B63" s="15" t="s">
        <v>24</v>
      </c>
      <c r="C63" s="15"/>
      <c r="D63" s="15"/>
      <c r="E63" s="15"/>
      <c r="F63" s="15"/>
      <c r="G63" s="22"/>
      <c r="H63" s="22"/>
      <c r="I63" s="22"/>
      <c r="J63" s="15"/>
      <c r="K63" s="15"/>
      <c r="L63" s="15"/>
      <c r="M63" s="15"/>
      <c r="N63" s="15"/>
      <c r="O63" s="23"/>
    </row>
    <row r="64" spans="1:15" s="24" customFormat="1" ht="31.2">
      <c r="A64" s="16" t="s">
        <v>25</v>
      </c>
      <c r="B64" s="15" t="s">
        <v>301</v>
      </c>
      <c r="C64" s="15" t="s">
        <v>302</v>
      </c>
      <c r="D64" s="15" t="s">
        <v>383</v>
      </c>
      <c r="E64" s="15" t="s">
        <v>5</v>
      </c>
      <c r="F64" s="15" t="s">
        <v>3</v>
      </c>
      <c r="G64" s="22"/>
      <c r="H64" s="22">
        <v>2</v>
      </c>
      <c r="I64" s="22"/>
      <c r="J64" s="15" t="s">
        <v>303</v>
      </c>
      <c r="K64" s="15">
        <v>0</v>
      </c>
      <c r="L64" s="15">
        <v>2</v>
      </c>
      <c r="M64" s="15">
        <v>0</v>
      </c>
      <c r="N64" s="15">
        <v>0</v>
      </c>
      <c r="O64" s="23">
        <v>2</v>
      </c>
    </row>
    <row r="65" spans="1:20" s="24" customFormat="1">
      <c r="A65" s="16" t="s">
        <v>26</v>
      </c>
      <c r="B65" s="15" t="s">
        <v>139</v>
      </c>
      <c r="C65" s="15" t="s">
        <v>47</v>
      </c>
      <c r="D65" s="15" t="s">
        <v>140</v>
      </c>
      <c r="E65" s="15" t="s">
        <v>5</v>
      </c>
      <c r="F65" s="15" t="s">
        <v>3</v>
      </c>
      <c r="G65" s="22"/>
      <c r="H65" s="22">
        <v>3</v>
      </c>
      <c r="I65" s="22"/>
      <c r="J65" s="15"/>
      <c r="K65" s="15">
        <v>0</v>
      </c>
      <c r="L65" s="15">
        <v>3</v>
      </c>
      <c r="M65" s="15">
        <v>0</v>
      </c>
      <c r="N65" s="15">
        <v>0</v>
      </c>
      <c r="O65" s="23">
        <v>3</v>
      </c>
    </row>
    <row r="66" spans="1:20" s="21" customFormat="1">
      <c r="A66" s="17">
        <v>3</v>
      </c>
      <c r="B66" s="18" t="s">
        <v>23</v>
      </c>
      <c r="C66" s="18"/>
      <c r="D66" s="18"/>
      <c r="E66" s="18"/>
      <c r="F66" s="18"/>
      <c r="G66" s="19"/>
      <c r="H66" s="19"/>
      <c r="I66" s="19"/>
      <c r="J66" s="18"/>
      <c r="K66" s="18"/>
      <c r="L66" s="18"/>
      <c r="M66" s="18"/>
      <c r="N66" s="18"/>
      <c r="O66" s="20"/>
    </row>
    <row r="67" spans="1:20" s="24" customFormat="1">
      <c r="A67" s="16" t="s">
        <v>27</v>
      </c>
      <c r="B67" s="15" t="s">
        <v>304</v>
      </c>
      <c r="C67" s="15"/>
      <c r="D67" s="15" t="s">
        <v>375</v>
      </c>
      <c r="E67" s="15" t="s">
        <v>31</v>
      </c>
      <c r="F67" s="15" t="s">
        <v>3</v>
      </c>
      <c r="G67" s="22"/>
      <c r="H67" s="22">
        <v>1</v>
      </c>
      <c r="I67" s="22"/>
      <c r="J67" s="15"/>
      <c r="K67" s="15">
        <v>1</v>
      </c>
      <c r="L67" s="15">
        <v>0</v>
      </c>
      <c r="M67" s="15">
        <v>0</v>
      </c>
      <c r="N67" s="15">
        <v>0</v>
      </c>
      <c r="O67" s="23">
        <v>0</v>
      </c>
    </row>
    <row r="68" spans="1:20" s="24" customFormat="1">
      <c r="A68" s="16"/>
      <c r="B68" s="15" t="s">
        <v>32</v>
      </c>
      <c r="C68" s="15"/>
      <c r="D68" s="15" t="s">
        <v>305</v>
      </c>
      <c r="E68" s="15" t="s">
        <v>306</v>
      </c>
      <c r="F68" s="15" t="s">
        <v>3</v>
      </c>
      <c r="G68" s="22"/>
      <c r="H68" s="22"/>
      <c r="I68" s="22" t="s">
        <v>376</v>
      </c>
      <c r="J68" s="15"/>
      <c r="K68" s="15">
        <v>0</v>
      </c>
      <c r="L68" s="15">
        <v>0</v>
      </c>
      <c r="M68" s="15">
        <v>1</v>
      </c>
      <c r="N68" s="15">
        <v>0</v>
      </c>
      <c r="O68" s="23">
        <v>0</v>
      </c>
    </row>
    <row r="69" spans="1:20" s="24" customFormat="1">
      <c r="A69" s="16"/>
      <c r="B69" s="15" t="s">
        <v>39</v>
      </c>
      <c r="C69" s="15" t="s">
        <v>40</v>
      </c>
      <c r="D69" s="15" t="s">
        <v>307</v>
      </c>
      <c r="E69" s="15" t="s">
        <v>306</v>
      </c>
      <c r="F69" s="15" t="s">
        <v>3</v>
      </c>
      <c r="G69" s="22"/>
      <c r="H69" s="22"/>
      <c r="I69" s="22"/>
      <c r="J69" s="15"/>
      <c r="K69" s="15"/>
      <c r="L69" s="15"/>
      <c r="M69" s="15"/>
      <c r="N69" s="15"/>
      <c r="O69" s="23"/>
    </row>
    <row r="70" spans="1:20" s="24" customFormat="1">
      <c r="A70" s="16"/>
      <c r="B70" s="15" t="s">
        <v>308</v>
      </c>
      <c r="C70" s="15"/>
      <c r="D70" s="15" t="s">
        <v>148</v>
      </c>
      <c r="E70" s="15" t="s">
        <v>147</v>
      </c>
      <c r="F70" s="15" t="s">
        <v>3</v>
      </c>
      <c r="G70" s="22"/>
      <c r="H70" s="22"/>
      <c r="I70" s="22"/>
      <c r="J70" s="15"/>
      <c r="K70" s="15">
        <v>5</v>
      </c>
      <c r="L70" s="15"/>
      <c r="M70" s="15"/>
      <c r="N70" s="15"/>
      <c r="O70" s="23"/>
    </row>
    <row r="71" spans="1:20" s="24" customFormat="1">
      <c r="A71" s="16"/>
      <c r="B71" s="15"/>
      <c r="C71" s="15" t="s">
        <v>309</v>
      </c>
      <c r="D71" s="15"/>
      <c r="E71" s="15"/>
      <c r="F71" s="15"/>
      <c r="G71" s="22"/>
      <c r="H71" s="22"/>
      <c r="I71" s="22"/>
      <c r="J71" s="15"/>
      <c r="K71" s="15">
        <v>1</v>
      </c>
      <c r="L71" s="15"/>
      <c r="M71" s="15"/>
      <c r="N71" s="15"/>
      <c r="O71" s="23"/>
    </row>
    <row r="72" spans="1:20" s="24" customFormat="1" ht="31.2">
      <c r="A72" s="16"/>
      <c r="B72" s="15"/>
      <c r="C72" s="15" t="s">
        <v>310</v>
      </c>
      <c r="D72" s="15"/>
      <c r="E72" s="15"/>
      <c r="F72" s="15"/>
      <c r="G72" s="22"/>
      <c r="H72" s="22"/>
      <c r="I72" s="22"/>
      <c r="J72" s="15"/>
      <c r="K72" s="15">
        <v>1</v>
      </c>
      <c r="L72" s="15"/>
      <c r="M72" s="15"/>
      <c r="N72" s="15"/>
      <c r="O72" s="23"/>
    </row>
    <row r="73" spans="1:20" s="24" customFormat="1">
      <c r="A73" s="16"/>
      <c r="B73" s="15"/>
      <c r="C73" s="15" t="s">
        <v>311</v>
      </c>
      <c r="D73" s="15"/>
      <c r="E73" s="15"/>
      <c r="F73" s="15"/>
      <c r="G73" s="22"/>
      <c r="H73" s="22"/>
      <c r="I73" s="22"/>
      <c r="J73" s="15"/>
      <c r="K73" s="15">
        <v>1</v>
      </c>
      <c r="L73" s="15"/>
      <c r="M73" s="15"/>
      <c r="N73" s="15"/>
      <c r="O73" s="23"/>
    </row>
    <row r="74" spans="1:20" s="24" customFormat="1">
      <c r="A74" s="16">
        <v>4</v>
      </c>
      <c r="B74" s="15" t="s">
        <v>59</v>
      </c>
      <c r="C74" s="15"/>
      <c r="D74" s="15"/>
      <c r="E74" s="15"/>
      <c r="F74" s="15"/>
      <c r="G74" s="22"/>
      <c r="H74" s="22"/>
      <c r="I74" s="22"/>
      <c r="J74" s="15"/>
      <c r="K74" s="15"/>
      <c r="L74" s="15"/>
      <c r="M74" s="15"/>
      <c r="N74" s="15"/>
      <c r="O74" s="23"/>
    </row>
    <row r="75" spans="1:20" s="24" customFormat="1">
      <c r="A75" s="16" t="s">
        <v>29</v>
      </c>
      <c r="B75" s="15" t="s">
        <v>60</v>
      </c>
      <c r="C75" s="15"/>
      <c r="D75" s="15" t="s">
        <v>61</v>
      </c>
      <c r="E75" s="15" t="s">
        <v>62</v>
      </c>
      <c r="F75" s="15" t="s">
        <v>3</v>
      </c>
      <c r="G75" s="22"/>
      <c r="H75" s="22">
        <v>1</v>
      </c>
      <c r="I75" s="22"/>
      <c r="J75" s="15"/>
      <c r="K75" s="15">
        <v>1</v>
      </c>
      <c r="L75" s="15"/>
      <c r="M75" s="15"/>
      <c r="N75" s="15"/>
      <c r="O75" s="23"/>
    </row>
    <row r="76" spans="1:20" s="24" customFormat="1">
      <c r="A76" s="16" t="s">
        <v>41</v>
      </c>
      <c r="B76" s="15" t="s">
        <v>63</v>
      </c>
      <c r="C76" s="15"/>
      <c r="D76" s="15" t="s">
        <v>64</v>
      </c>
      <c r="E76" s="15" t="s">
        <v>62</v>
      </c>
      <c r="F76" s="15" t="s">
        <v>3</v>
      </c>
      <c r="G76" s="22"/>
      <c r="H76" s="22">
        <v>1</v>
      </c>
      <c r="I76" s="22"/>
      <c r="J76" s="15" t="s">
        <v>65</v>
      </c>
      <c r="K76" s="15">
        <v>1</v>
      </c>
      <c r="L76" s="15">
        <v>1</v>
      </c>
      <c r="M76" s="15"/>
      <c r="N76" s="15"/>
      <c r="O76" s="23"/>
      <c r="T76" s="24">
        <v>0</v>
      </c>
    </row>
    <row r="77" spans="1:20" s="24" customFormat="1">
      <c r="A77" s="16" t="s">
        <v>43</v>
      </c>
      <c r="B77" s="15" t="s">
        <v>66</v>
      </c>
      <c r="C77" s="15"/>
      <c r="D77" s="15" t="s">
        <v>67</v>
      </c>
      <c r="E77" s="15" t="s">
        <v>62</v>
      </c>
      <c r="F77" s="15" t="s">
        <v>3</v>
      </c>
      <c r="G77" s="22"/>
      <c r="H77" s="22">
        <v>1</v>
      </c>
      <c r="I77" s="22"/>
      <c r="J77" s="15" t="s">
        <v>68</v>
      </c>
      <c r="K77" s="15">
        <v>1</v>
      </c>
      <c r="L77" s="15"/>
      <c r="M77" s="15"/>
      <c r="N77" s="15"/>
      <c r="O77" s="23"/>
    </row>
    <row r="78" spans="1:20" s="24" customFormat="1" ht="31.2">
      <c r="A78" s="16" t="s">
        <v>69</v>
      </c>
      <c r="B78" s="15" t="s">
        <v>70</v>
      </c>
      <c r="C78" s="15"/>
      <c r="D78" s="15" t="s">
        <v>71</v>
      </c>
      <c r="E78" s="15" t="s">
        <v>62</v>
      </c>
      <c r="F78" s="15" t="s">
        <v>3</v>
      </c>
      <c r="G78" s="22"/>
      <c r="H78" s="22">
        <v>2</v>
      </c>
      <c r="I78" s="22"/>
      <c r="J78" s="15" t="s">
        <v>72</v>
      </c>
      <c r="K78" s="15">
        <v>2</v>
      </c>
      <c r="L78" s="15"/>
      <c r="M78" s="15"/>
      <c r="N78" s="15"/>
      <c r="O78" s="23"/>
    </row>
    <row r="79" spans="1:20" s="24" customFormat="1" ht="31.2">
      <c r="A79" s="16" t="s">
        <v>73</v>
      </c>
      <c r="B79" s="15" t="s">
        <v>74</v>
      </c>
      <c r="C79" s="15"/>
      <c r="D79" s="15" t="s">
        <v>75</v>
      </c>
      <c r="E79" s="15" t="s">
        <v>62</v>
      </c>
      <c r="F79" s="15" t="s">
        <v>3</v>
      </c>
      <c r="G79" s="22"/>
      <c r="H79" s="22">
        <v>2</v>
      </c>
      <c r="I79" s="22"/>
      <c r="J79" s="15" t="s">
        <v>76</v>
      </c>
      <c r="K79" s="15">
        <v>2</v>
      </c>
      <c r="L79" s="15"/>
      <c r="M79" s="15"/>
      <c r="N79" s="15"/>
      <c r="O79" s="23"/>
    </row>
    <row r="80" spans="1:20" s="24" customFormat="1">
      <c r="A80" s="16" t="s">
        <v>77</v>
      </c>
      <c r="B80" s="15" t="s">
        <v>78</v>
      </c>
      <c r="C80" s="15"/>
      <c r="D80" s="15" t="s">
        <v>79</v>
      </c>
      <c r="E80" s="15" t="s">
        <v>62</v>
      </c>
      <c r="F80" s="15" t="s">
        <v>3</v>
      </c>
      <c r="G80" s="22"/>
      <c r="H80" s="22">
        <v>1</v>
      </c>
      <c r="I80" s="22"/>
      <c r="J80" s="15"/>
      <c r="K80" s="15"/>
      <c r="L80" s="15"/>
      <c r="M80" s="15"/>
      <c r="N80" s="15"/>
      <c r="O80" s="23"/>
    </row>
    <row r="81" spans="1:20" s="24" customFormat="1">
      <c r="A81" s="16" t="s">
        <v>80</v>
      </c>
      <c r="B81" s="15" t="s">
        <v>81</v>
      </c>
      <c r="C81" s="15"/>
      <c r="D81" s="15" t="s">
        <v>82</v>
      </c>
      <c r="E81" s="15" t="s">
        <v>62</v>
      </c>
      <c r="F81" s="15" t="s">
        <v>3</v>
      </c>
      <c r="G81" s="22"/>
      <c r="H81" s="22">
        <v>2</v>
      </c>
      <c r="I81" s="22"/>
      <c r="J81" s="15" t="s">
        <v>83</v>
      </c>
      <c r="K81" s="15"/>
      <c r="L81" s="15">
        <v>2</v>
      </c>
      <c r="M81" s="15"/>
      <c r="N81" s="15"/>
      <c r="O81" s="23"/>
      <c r="T81" s="24">
        <v>0</v>
      </c>
    </row>
    <row r="82" spans="1:20" s="24" customFormat="1" ht="31.2">
      <c r="A82" s="16" t="s">
        <v>84</v>
      </c>
      <c r="B82" s="15" t="s">
        <v>85</v>
      </c>
      <c r="C82" s="15"/>
      <c r="D82" s="15" t="s">
        <v>86</v>
      </c>
      <c r="E82" s="15" t="s">
        <v>62</v>
      </c>
      <c r="F82" s="15" t="s">
        <v>3</v>
      </c>
      <c r="G82" s="22"/>
      <c r="H82" s="22">
        <v>1</v>
      </c>
      <c r="I82" s="22"/>
      <c r="J82" s="15" t="s">
        <v>93</v>
      </c>
      <c r="K82" s="15">
        <v>1</v>
      </c>
      <c r="L82" s="15">
        <v>1</v>
      </c>
      <c r="M82" s="15"/>
      <c r="N82" s="15"/>
      <c r="O82" s="23"/>
      <c r="R82" s="24">
        <f>Q82</f>
        <v>0</v>
      </c>
    </row>
    <row r="83" spans="1:20" s="24" customFormat="1">
      <c r="A83" s="16" t="s">
        <v>87</v>
      </c>
      <c r="B83" s="15" t="s">
        <v>88</v>
      </c>
      <c r="C83" s="15"/>
      <c r="D83" s="15" t="s">
        <v>89</v>
      </c>
      <c r="E83" s="15" t="s">
        <v>62</v>
      </c>
      <c r="F83" s="15" t="s">
        <v>3</v>
      </c>
      <c r="G83" s="22"/>
      <c r="H83" s="22">
        <v>1</v>
      </c>
      <c r="I83" s="22"/>
      <c r="J83" s="15" t="s">
        <v>94</v>
      </c>
      <c r="K83" s="15">
        <v>1</v>
      </c>
      <c r="L83" s="15"/>
      <c r="M83" s="15"/>
      <c r="N83" s="15"/>
      <c r="O83" s="23"/>
    </row>
    <row r="84" spans="1:20" s="24" customFormat="1">
      <c r="A84" s="16" t="s">
        <v>90</v>
      </c>
      <c r="B84" s="15" t="s">
        <v>91</v>
      </c>
      <c r="C84" s="15"/>
      <c r="D84" s="15" t="s">
        <v>96</v>
      </c>
      <c r="E84" s="15" t="s">
        <v>92</v>
      </c>
      <c r="F84" s="15" t="s">
        <v>3</v>
      </c>
      <c r="G84" s="22"/>
      <c r="H84" s="22">
        <v>1</v>
      </c>
      <c r="I84" s="22"/>
      <c r="J84" s="15"/>
      <c r="K84" s="15"/>
      <c r="L84" s="15">
        <v>3</v>
      </c>
      <c r="M84" s="15"/>
      <c r="N84" s="15"/>
      <c r="O84" s="23">
        <v>0</v>
      </c>
      <c r="T84" s="24">
        <v>3</v>
      </c>
    </row>
    <row r="85" spans="1:20" s="24" customFormat="1">
      <c r="A85" s="16" t="s">
        <v>97</v>
      </c>
      <c r="B85" s="15" t="s">
        <v>98</v>
      </c>
      <c r="C85" s="15"/>
      <c r="D85" s="15" t="s">
        <v>95</v>
      </c>
      <c r="E85" s="15"/>
      <c r="F85" s="15" t="s">
        <v>3</v>
      </c>
      <c r="G85" s="22"/>
      <c r="H85" s="22">
        <v>1</v>
      </c>
      <c r="I85" s="22"/>
      <c r="J85" s="15"/>
      <c r="K85" s="15"/>
      <c r="L85" s="15">
        <v>1</v>
      </c>
      <c r="M85" s="15"/>
      <c r="N85" s="15"/>
      <c r="O85" s="23">
        <v>0</v>
      </c>
    </row>
    <row r="86" spans="1:20" s="21" customFormat="1">
      <c r="A86" s="17"/>
      <c r="B86" s="18" t="s">
        <v>54</v>
      </c>
      <c r="C86" s="18"/>
      <c r="D86" s="18"/>
      <c r="E86" s="18"/>
      <c r="F86" s="18"/>
      <c r="G86" s="19"/>
      <c r="H86" s="19"/>
      <c r="I86" s="19"/>
      <c r="J86" s="18"/>
      <c r="K86" s="18">
        <f>SUM(K40:K85)</f>
        <v>18</v>
      </c>
      <c r="L86" s="18">
        <f>SUM(L40:L85)</f>
        <v>13</v>
      </c>
      <c r="M86" s="18">
        <f>SUM(M40:M85)</f>
        <v>1</v>
      </c>
      <c r="N86" s="18">
        <f>SUM(N40:N85)</f>
        <v>0</v>
      </c>
      <c r="O86" s="20">
        <f>SUM(O40:O85)</f>
        <v>5</v>
      </c>
    </row>
    <row r="87" spans="1:20" s="21" customFormat="1">
      <c r="A87" s="17">
        <v>5</v>
      </c>
      <c r="B87" s="18" t="s">
        <v>58</v>
      </c>
      <c r="C87" s="18"/>
      <c r="D87" s="18"/>
      <c r="E87" s="18"/>
      <c r="F87" s="18"/>
      <c r="G87" s="19"/>
      <c r="H87" s="19"/>
      <c r="I87" s="19"/>
      <c r="J87" s="18"/>
      <c r="K87" s="18"/>
      <c r="L87" s="18"/>
      <c r="M87" s="18"/>
      <c r="N87" s="18"/>
      <c r="O87" s="20"/>
    </row>
    <row r="88" spans="1:20" s="24" customFormat="1">
      <c r="A88" s="16" t="s">
        <v>99</v>
      </c>
      <c r="B88" s="15" t="s">
        <v>119</v>
      </c>
      <c r="C88" s="15"/>
      <c r="D88" s="15" t="s">
        <v>144</v>
      </c>
      <c r="E88" s="15" t="s">
        <v>34</v>
      </c>
      <c r="F88" s="15" t="s">
        <v>3</v>
      </c>
      <c r="G88" s="22"/>
      <c r="H88" s="22">
        <v>1</v>
      </c>
      <c r="I88" s="22"/>
      <c r="J88" s="15"/>
      <c r="K88" s="15">
        <f>H88*14</f>
        <v>14</v>
      </c>
      <c r="L88" s="15">
        <f>H88*10</f>
        <v>10</v>
      </c>
      <c r="M88" s="15">
        <v>2</v>
      </c>
      <c r="N88" s="15">
        <f>H88*2</f>
        <v>2</v>
      </c>
      <c r="O88" s="23"/>
    </row>
    <row r="89" spans="1:20" s="24" customFormat="1">
      <c r="A89" s="16" t="s">
        <v>35</v>
      </c>
      <c r="B89" s="15" t="s">
        <v>36</v>
      </c>
      <c r="C89" s="15"/>
      <c r="D89" s="15" t="s">
        <v>37</v>
      </c>
      <c r="E89" s="15" t="s">
        <v>34</v>
      </c>
      <c r="F89" s="15" t="s">
        <v>3</v>
      </c>
      <c r="G89" s="22"/>
      <c r="H89" s="22">
        <v>1</v>
      </c>
      <c r="I89" s="22"/>
      <c r="J89" s="15"/>
      <c r="K89" s="15"/>
      <c r="L89" s="15"/>
      <c r="M89" s="15"/>
      <c r="N89" s="15"/>
      <c r="O89" s="23"/>
    </row>
    <row r="90" spans="1:20" s="24" customFormat="1">
      <c r="A90" s="16" t="s">
        <v>100</v>
      </c>
      <c r="B90" s="15" t="s">
        <v>38</v>
      </c>
      <c r="C90" s="15"/>
      <c r="D90" s="15" t="s">
        <v>405</v>
      </c>
      <c r="E90" s="15" t="s">
        <v>377</v>
      </c>
      <c r="F90" s="15" t="s">
        <v>3</v>
      </c>
      <c r="G90" s="22"/>
      <c r="H90" s="22">
        <v>1</v>
      </c>
      <c r="I90" s="22"/>
      <c r="J90" s="15"/>
      <c r="K90" s="15"/>
      <c r="L90" s="15"/>
      <c r="M90" s="15"/>
      <c r="N90" s="15"/>
      <c r="O90" s="23"/>
    </row>
    <row r="91" spans="1:20" s="24" customFormat="1">
      <c r="A91" s="16" t="s">
        <v>118</v>
      </c>
      <c r="B91" s="15" t="s">
        <v>122</v>
      </c>
      <c r="C91" s="15"/>
      <c r="D91" s="15" t="s">
        <v>123</v>
      </c>
      <c r="E91" s="15" t="s">
        <v>34</v>
      </c>
      <c r="F91" s="15" t="s">
        <v>3</v>
      </c>
      <c r="G91" s="22"/>
      <c r="H91" s="22">
        <v>1</v>
      </c>
      <c r="I91" s="22"/>
      <c r="J91" s="15"/>
      <c r="K91" s="15"/>
      <c r="L91" s="15"/>
      <c r="M91" s="15"/>
      <c r="N91" s="15"/>
      <c r="O91" s="23"/>
    </row>
    <row r="92" spans="1:20" s="24" customFormat="1">
      <c r="A92" s="16" t="s">
        <v>44</v>
      </c>
      <c r="B92" s="15" t="s">
        <v>312</v>
      </c>
      <c r="C92" s="15"/>
      <c r="D92" s="15" t="s">
        <v>162</v>
      </c>
      <c r="E92" s="15" t="s">
        <v>34</v>
      </c>
      <c r="F92" s="15" t="s">
        <v>3</v>
      </c>
      <c r="G92" s="22"/>
      <c r="H92" s="22">
        <v>1</v>
      </c>
      <c r="I92" s="22"/>
      <c r="J92" s="15"/>
      <c r="K92" s="15">
        <f>H92*16</f>
        <v>16</v>
      </c>
      <c r="L92" s="15">
        <f>H92*16</f>
        <v>16</v>
      </c>
      <c r="M92" s="15"/>
      <c r="N92" s="15"/>
      <c r="O92" s="23"/>
    </row>
    <row r="93" spans="1:20" s="24" customFormat="1">
      <c r="A93" s="16"/>
      <c r="B93" s="15" t="s">
        <v>116</v>
      </c>
      <c r="C93" s="15"/>
      <c r="D93" s="15"/>
      <c r="E93" s="15"/>
      <c r="F93" s="15"/>
      <c r="G93" s="22"/>
      <c r="H93" s="22"/>
      <c r="I93" s="22"/>
      <c r="J93" s="15"/>
      <c r="K93" s="15">
        <f>SUM(K88:K92)</f>
        <v>30</v>
      </c>
      <c r="L93" s="15">
        <f>SUM(L88:L92)</f>
        <v>26</v>
      </c>
      <c r="M93" s="15">
        <f>SUM(M88:M92)</f>
        <v>2</v>
      </c>
      <c r="N93" s="15">
        <f>SUM(N88:N92)</f>
        <v>2</v>
      </c>
      <c r="O93" s="23"/>
    </row>
    <row r="94" spans="1:20" s="24" customFormat="1">
      <c r="A94" s="16"/>
      <c r="B94" s="15" t="s">
        <v>117</v>
      </c>
      <c r="C94" s="15"/>
      <c r="D94" s="15"/>
      <c r="E94" s="15"/>
      <c r="F94" s="15"/>
      <c r="G94" s="22"/>
      <c r="H94" s="22"/>
      <c r="I94" s="22"/>
      <c r="J94" s="15"/>
      <c r="K94" s="15">
        <f>K93-K86</f>
        <v>12</v>
      </c>
      <c r="L94" s="15">
        <f>L93-L86</f>
        <v>13</v>
      </c>
      <c r="M94" s="15">
        <f>M93-M86</f>
        <v>1</v>
      </c>
      <c r="N94" s="15">
        <f>N93-N86</f>
        <v>2</v>
      </c>
      <c r="O94" s="23"/>
    </row>
    <row r="95" spans="1:20" s="21" customFormat="1">
      <c r="A95" s="17">
        <v>6</v>
      </c>
      <c r="B95" s="18" t="s">
        <v>42</v>
      </c>
      <c r="C95" s="18"/>
      <c r="D95" s="18"/>
      <c r="E95" s="18"/>
      <c r="F95" s="18"/>
      <c r="G95" s="19"/>
      <c r="H95" s="19"/>
      <c r="I95" s="19"/>
      <c r="J95" s="18"/>
      <c r="K95" s="18"/>
      <c r="L95" s="18"/>
      <c r="M95" s="18"/>
      <c r="N95" s="18"/>
      <c r="O95" s="20"/>
    </row>
    <row r="96" spans="1:20" s="24" customFormat="1">
      <c r="A96" s="16" t="s">
        <v>126</v>
      </c>
      <c r="B96" s="15" t="s">
        <v>141</v>
      </c>
      <c r="C96" s="15"/>
      <c r="D96" s="15" t="s">
        <v>142</v>
      </c>
      <c r="E96" s="15" t="s">
        <v>49</v>
      </c>
      <c r="F96" s="15" t="s">
        <v>3</v>
      </c>
      <c r="G96" s="22"/>
      <c r="H96" s="22">
        <v>1</v>
      </c>
      <c r="I96" s="22"/>
      <c r="J96" s="15"/>
      <c r="K96" s="15"/>
      <c r="L96" s="15"/>
      <c r="M96" s="15"/>
      <c r="N96" s="15"/>
      <c r="O96" s="23"/>
    </row>
    <row r="97" spans="1:15" s="24" customFormat="1">
      <c r="A97" s="16" t="s">
        <v>127</v>
      </c>
      <c r="B97" s="15" t="s">
        <v>204</v>
      </c>
      <c r="C97" s="15"/>
      <c r="D97" s="15" t="s">
        <v>206</v>
      </c>
      <c r="E97" s="15" t="s">
        <v>49</v>
      </c>
      <c r="F97" s="15" t="s">
        <v>3</v>
      </c>
      <c r="G97" s="22"/>
      <c r="H97" s="22">
        <v>1</v>
      </c>
      <c r="I97" s="22"/>
      <c r="J97" s="15"/>
      <c r="K97" s="15"/>
      <c r="L97" s="15"/>
      <c r="M97" s="15"/>
      <c r="N97" s="15"/>
      <c r="O97" s="23"/>
    </row>
    <row r="98" spans="1:15" s="24" customFormat="1">
      <c r="A98" s="16" t="s">
        <v>128</v>
      </c>
      <c r="B98" s="15" t="s">
        <v>205</v>
      </c>
      <c r="C98" s="15"/>
      <c r="D98" s="15" t="s">
        <v>207</v>
      </c>
      <c r="E98" s="15" t="s">
        <v>49</v>
      </c>
      <c r="F98" s="15" t="s">
        <v>3</v>
      </c>
      <c r="G98" s="22"/>
      <c r="H98" s="22">
        <v>1</v>
      </c>
      <c r="I98" s="22"/>
      <c r="J98" s="15"/>
      <c r="K98" s="15"/>
      <c r="L98" s="15"/>
      <c r="M98" s="15"/>
      <c r="N98" s="15"/>
      <c r="O98" s="23"/>
    </row>
    <row r="99" spans="1:15" s="24" customFormat="1">
      <c r="A99" s="16" t="s">
        <v>129</v>
      </c>
      <c r="B99" s="15" t="s">
        <v>143</v>
      </c>
      <c r="C99" s="15"/>
      <c r="D99" s="15" t="s">
        <v>50</v>
      </c>
      <c r="E99" s="15" t="s">
        <v>49</v>
      </c>
      <c r="F99" s="15" t="s">
        <v>3</v>
      </c>
      <c r="G99" s="22"/>
      <c r="H99" s="22">
        <v>1</v>
      </c>
      <c r="I99" s="22"/>
      <c r="J99" s="15"/>
      <c r="K99" s="15"/>
      <c r="L99" s="15"/>
      <c r="M99" s="15"/>
      <c r="N99" s="15"/>
      <c r="O99" s="23"/>
    </row>
    <row r="100" spans="1:15" s="24" customFormat="1">
      <c r="A100" s="16" t="s">
        <v>130</v>
      </c>
      <c r="B100" s="15" t="s">
        <v>149</v>
      </c>
      <c r="C100" s="15"/>
      <c r="D100" s="15" t="s">
        <v>150</v>
      </c>
      <c r="E100" s="15" t="s">
        <v>49</v>
      </c>
      <c r="F100" s="15" t="s">
        <v>3</v>
      </c>
      <c r="G100" s="22"/>
      <c r="H100" s="22">
        <v>1</v>
      </c>
      <c r="I100" s="22"/>
      <c r="J100" s="15"/>
      <c r="K100" s="15"/>
      <c r="L100" s="15"/>
      <c r="M100" s="15"/>
      <c r="N100" s="15"/>
      <c r="O100" s="23"/>
    </row>
    <row r="101" spans="1:15" s="24" customFormat="1">
      <c r="A101" s="16" t="s">
        <v>131</v>
      </c>
      <c r="B101" s="15" t="s">
        <v>120</v>
      </c>
      <c r="C101" s="15"/>
      <c r="D101" s="15" t="s">
        <v>121</v>
      </c>
      <c r="E101" s="15" t="s">
        <v>101</v>
      </c>
      <c r="F101" s="15" t="s">
        <v>3</v>
      </c>
      <c r="G101" s="22"/>
      <c r="H101" s="22">
        <v>1</v>
      </c>
      <c r="I101" s="22"/>
      <c r="J101" s="15"/>
      <c r="K101" s="15"/>
      <c r="L101" s="15"/>
      <c r="M101" s="15"/>
      <c r="N101" s="15"/>
      <c r="O101" s="23"/>
    </row>
    <row r="102" spans="1:15" s="24" customFormat="1">
      <c r="A102" s="16" t="s">
        <v>132</v>
      </c>
      <c r="B102" s="15" t="s">
        <v>102</v>
      </c>
      <c r="C102" s="15"/>
      <c r="D102" s="15" t="s">
        <v>103</v>
      </c>
      <c r="E102" s="15" t="s">
        <v>104</v>
      </c>
      <c r="F102" s="15" t="s">
        <v>3</v>
      </c>
      <c r="G102" s="22"/>
      <c r="H102" s="22">
        <v>1</v>
      </c>
      <c r="I102" s="22"/>
      <c r="J102" s="15"/>
      <c r="K102" s="15"/>
      <c r="L102" s="15"/>
      <c r="M102" s="15"/>
      <c r="N102" s="15"/>
      <c r="O102" s="23"/>
    </row>
    <row r="103" spans="1:15" s="24" customFormat="1">
      <c r="A103" s="16" t="s">
        <v>133</v>
      </c>
      <c r="B103" s="15" t="s">
        <v>146</v>
      </c>
      <c r="C103" s="15"/>
      <c r="D103" s="15" t="s">
        <v>145</v>
      </c>
      <c r="E103" s="15" t="s">
        <v>105</v>
      </c>
      <c r="F103" s="15" t="s">
        <v>3</v>
      </c>
      <c r="G103" s="22"/>
      <c r="H103" s="22">
        <v>1</v>
      </c>
      <c r="I103" s="22"/>
      <c r="J103" s="15"/>
      <c r="K103" s="15"/>
      <c r="L103" s="15"/>
      <c r="M103" s="15"/>
      <c r="N103" s="15"/>
      <c r="O103" s="23"/>
    </row>
    <row r="104" spans="1:15" s="24" customFormat="1">
      <c r="A104" s="16" t="s">
        <v>134</v>
      </c>
      <c r="B104" s="15" t="s">
        <v>106</v>
      </c>
      <c r="C104" s="15"/>
      <c r="D104" s="15" t="s">
        <v>107</v>
      </c>
      <c r="E104" s="15" t="s">
        <v>62</v>
      </c>
      <c r="F104" s="15" t="s">
        <v>3</v>
      </c>
      <c r="G104" s="22"/>
      <c r="H104" s="22">
        <v>12</v>
      </c>
      <c r="I104" s="22"/>
      <c r="J104" s="15"/>
      <c r="K104" s="15"/>
      <c r="L104" s="15"/>
      <c r="M104" s="15"/>
      <c r="N104" s="15"/>
      <c r="O104" s="23"/>
    </row>
    <row r="105" spans="1:15" s="24" customFormat="1">
      <c r="A105" s="16" t="s">
        <v>135</v>
      </c>
      <c r="B105" s="15" t="s">
        <v>108</v>
      </c>
      <c r="C105" s="15"/>
      <c r="D105" s="15" t="s">
        <v>109</v>
      </c>
      <c r="E105" s="15" t="s">
        <v>110</v>
      </c>
      <c r="F105" s="15" t="s">
        <v>3</v>
      </c>
      <c r="G105" s="22"/>
      <c r="H105" s="22">
        <v>12</v>
      </c>
      <c r="I105" s="22"/>
      <c r="J105" s="15"/>
      <c r="K105" s="15"/>
      <c r="L105" s="15"/>
      <c r="M105" s="15"/>
      <c r="N105" s="15"/>
      <c r="O105" s="23"/>
    </row>
    <row r="106" spans="1:15" s="24" customFormat="1">
      <c r="A106" s="16" t="s">
        <v>136</v>
      </c>
      <c r="B106" s="15" t="s">
        <v>111</v>
      </c>
      <c r="C106" s="15"/>
      <c r="D106" s="15" t="s">
        <v>112</v>
      </c>
      <c r="E106" s="15" t="s">
        <v>48</v>
      </c>
      <c r="F106" s="15" t="s">
        <v>3</v>
      </c>
      <c r="G106" s="22"/>
      <c r="H106" s="22">
        <v>8</v>
      </c>
      <c r="I106" s="22"/>
      <c r="J106" s="15"/>
      <c r="K106" s="15"/>
      <c r="L106" s="15"/>
      <c r="M106" s="15"/>
      <c r="N106" s="15"/>
      <c r="O106" s="23"/>
    </row>
    <row r="107" spans="1:15" s="24" customFormat="1">
      <c r="A107" s="16" t="s">
        <v>137</v>
      </c>
      <c r="B107" s="15" t="s">
        <v>152</v>
      </c>
      <c r="C107" s="15"/>
      <c r="D107" s="15" t="s">
        <v>153</v>
      </c>
      <c r="E107" s="15" t="s">
        <v>154</v>
      </c>
      <c r="F107" s="15" t="s">
        <v>3</v>
      </c>
      <c r="G107" s="22"/>
      <c r="H107" s="22">
        <v>1</v>
      </c>
      <c r="I107" s="22"/>
      <c r="J107" s="15"/>
      <c r="K107" s="15"/>
      <c r="L107" s="15"/>
      <c r="M107" s="15"/>
      <c r="N107" s="15"/>
      <c r="O107" s="23"/>
    </row>
    <row r="108" spans="1:15" s="24" customFormat="1">
      <c r="A108" s="16" t="s">
        <v>151</v>
      </c>
      <c r="B108" s="15" t="s">
        <v>313</v>
      </c>
      <c r="C108" s="15"/>
      <c r="D108" s="15" t="s">
        <v>156</v>
      </c>
      <c r="E108" s="15" t="s">
        <v>154</v>
      </c>
      <c r="F108" s="15" t="s">
        <v>3</v>
      </c>
      <c r="G108" s="22"/>
      <c r="H108" s="22">
        <v>2</v>
      </c>
      <c r="I108" s="22"/>
      <c r="J108" s="15"/>
      <c r="K108" s="15"/>
      <c r="L108" s="15"/>
      <c r="M108" s="15"/>
      <c r="N108" s="15"/>
      <c r="O108" s="23"/>
    </row>
    <row r="109" spans="1:15" s="24" customFormat="1">
      <c r="A109" s="16" t="s">
        <v>155</v>
      </c>
      <c r="B109" s="15" t="s">
        <v>158</v>
      </c>
      <c r="C109" s="15"/>
      <c r="D109" s="15" t="s">
        <v>159</v>
      </c>
      <c r="E109" s="15" t="s">
        <v>154</v>
      </c>
      <c r="F109" s="15" t="s">
        <v>3</v>
      </c>
      <c r="G109" s="22"/>
      <c r="H109" s="22">
        <v>2</v>
      </c>
      <c r="I109" s="22"/>
      <c r="J109" s="15"/>
      <c r="K109" s="15"/>
      <c r="L109" s="15"/>
      <c r="M109" s="15"/>
      <c r="N109" s="15"/>
      <c r="O109" s="23"/>
    </row>
    <row r="110" spans="1:15" s="24" customFormat="1">
      <c r="A110" s="16" t="s">
        <v>157</v>
      </c>
      <c r="B110" s="15" t="s">
        <v>398</v>
      </c>
      <c r="C110" s="15"/>
      <c r="D110" s="15" t="s">
        <v>399</v>
      </c>
      <c r="E110" s="15" t="s">
        <v>212</v>
      </c>
      <c r="F110" s="15" t="s">
        <v>3</v>
      </c>
      <c r="G110" s="22"/>
      <c r="H110" s="22">
        <v>72</v>
      </c>
      <c r="I110" s="22"/>
      <c r="J110" s="15"/>
      <c r="K110" s="22"/>
      <c r="L110" s="15"/>
      <c r="M110" s="15"/>
      <c r="N110" s="15"/>
      <c r="O110" s="23"/>
    </row>
    <row r="111" spans="1:15" s="24" customFormat="1">
      <c r="A111" s="16" t="s">
        <v>160</v>
      </c>
      <c r="B111" s="15" t="s">
        <v>397</v>
      </c>
      <c r="C111" s="15"/>
      <c r="D111" s="15" t="s">
        <v>396</v>
      </c>
      <c r="E111" s="15" t="s">
        <v>212</v>
      </c>
      <c r="F111" s="15" t="s">
        <v>3</v>
      </c>
      <c r="G111" s="22"/>
      <c r="H111" s="22">
        <v>10</v>
      </c>
      <c r="I111" s="22"/>
      <c r="J111" s="15"/>
      <c r="K111" s="22"/>
      <c r="L111" s="15"/>
      <c r="M111" s="15"/>
      <c r="N111" s="15"/>
      <c r="O111" s="23"/>
    </row>
    <row r="112" spans="1:15" s="24" customFormat="1">
      <c r="A112" s="16" t="s">
        <v>401</v>
      </c>
      <c r="B112" s="15" t="s">
        <v>400</v>
      </c>
      <c r="C112" s="15"/>
      <c r="D112" s="15" t="s">
        <v>395</v>
      </c>
      <c r="E112" s="15" t="s">
        <v>212</v>
      </c>
      <c r="F112" s="15" t="s">
        <v>198</v>
      </c>
      <c r="G112" s="22"/>
      <c r="H112" s="22">
        <v>1</v>
      </c>
      <c r="I112" s="22"/>
      <c r="J112" s="15"/>
      <c r="K112" s="22"/>
      <c r="L112" s="15"/>
      <c r="M112" s="15"/>
      <c r="N112" s="15"/>
      <c r="O112" s="23"/>
    </row>
    <row r="113" spans="1:15" s="24" customFormat="1">
      <c r="A113" s="16" t="s">
        <v>402</v>
      </c>
      <c r="B113" s="15" t="s">
        <v>314</v>
      </c>
      <c r="C113" s="15"/>
      <c r="D113" s="15" t="s">
        <v>211</v>
      </c>
      <c r="E113" s="15" t="s">
        <v>161</v>
      </c>
      <c r="F113" s="15" t="s">
        <v>3</v>
      </c>
      <c r="G113" s="22"/>
      <c r="H113" s="22">
        <v>16</v>
      </c>
      <c r="I113" s="22"/>
      <c r="J113" s="15"/>
      <c r="K113" s="22"/>
      <c r="L113" s="15"/>
      <c r="M113" s="15"/>
      <c r="N113" s="15"/>
      <c r="O113" s="23"/>
    </row>
    <row r="114" spans="1:15" s="24" customFormat="1">
      <c r="A114" s="16" t="s">
        <v>403</v>
      </c>
      <c r="B114" s="15" t="s">
        <v>113</v>
      </c>
      <c r="C114" s="15"/>
      <c r="D114" s="15"/>
      <c r="E114" s="15" t="s">
        <v>114</v>
      </c>
      <c r="F114" s="15" t="s">
        <v>3</v>
      </c>
      <c r="G114" s="22"/>
      <c r="H114" s="22">
        <v>5</v>
      </c>
      <c r="I114" s="22"/>
      <c r="J114" s="15"/>
      <c r="K114" s="15"/>
      <c r="L114" s="15"/>
      <c r="M114" s="15"/>
      <c r="N114" s="15"/>
      <c r="O114" s="23"/>
    </row>
    <row r="115" spans="1:15" s="24" customFormat="1">
      <c r="A115" s="16" t="s">
        <v>404</v>
      </c>
      <c r="B115" s="15" t="s">
        <v>115</v>
      </c>
      <c r="C115" s="15"/>
      <c r="D115" s="15"/>
      <c r="E115" s="15" t="s">
        <v>114</v>
      </c>
      <c r="F115" s="15" t="s">
        <v>3</v>
      </c>
      <c r="G115" s="22"/>
      <c r="H115" s="22">
        <v>3</v>
      </c>
      <c r="I115" s="22"/>
      <c r="J115" s="15"/>
      <c r="K115" s="15"/>
      <c r="L115" s="15"/>
      <c r="M115" s="15"/>
      <c r="N115" s="15"/>
      <c r="O115" s="23"/>
    </row>
    <row r="116" spans="1:15" s="21" customFormat="1">
      <c r="A116" s="17">
        <v>7</v>
      </c>
      <c r="B116" s="18" t="s">
        <v>28</v>
      </c>
      <c r="C116" s="18"/>
      <c r="D116" s="18"/>
      <c r="E116" s="18"/>
      <c r="F116" s="18"/>
      <c r="G116" s="19"/>
      <c r="H116" s="19"/>
      <c r="I116" s="19"/>
      <c r="J116" s="18"/>
      <c r="K116" s="18"/>
      <c r="L116" s="18"/>
      <c r="M116" s="18"/>
      <c r="N116" s="18"/>
      <c r="O116" s="20"/>
    </row>
    <row r="117" spans="1:15" s="24" customFormat="1">
      <c r="A117" s="16" t="s">
        <v>315</v>
      </c>
      <c r="B117" s="15" t="s">
        <v>316</v>
      </c>
      <c r="C117" s="15"/>
      <c r="D117" s="15" t="s">
        <v>317</v>
      </c>
      <c r="E117" s="15" t="s">
        <v>33</v>
      </c>
      <c r="F117" s="15" t="s">
        <v>3</v>
      </c>
      <c r="G117" s="22"/>
      <c r="H117" s="22">
        <v>1</v>
      </c>
      <c r="I117" s="22"/>
      <c r="J117" s="15"/>
      <c r="K117" s="15"/>
      <c r="L117" s="15"/>
      <c r="M117" s="15"/>
      <c r="N117" s="15"/>
      <c r="O117" s="23"/>
    </row>
    <row r="118" spans="1:15" s="24" customFormat="1" ht="31.2">
      <c r="A118" s="16" t="s">
        <v>138</v>
      </c>
      <c r="B118" s="15" t="s">
        <v>318</v>
      </c>
      <c r="C118" s="15"/>
      <c r="D118" s="15" t="s">
        <v>378</v>
      </c>
      <c r="E118" s="15" t="s">
        <v>125</v>
      </c>
      <c r="F118" s="15" t="s">
        <v>3</v>
      </c>
      <c r="G118" s="22"/>
      <c r="H118" s="22">
        <v>1</v>
      </c>
      <c r="I118" s="22"/>
      <c r="J118" s="15"/>
      <c r="K118" s="15"/>
      <c r="L118" s="15"/>
      <c r="M118" s="15"/>
      <c r="N118" s="15"/>
      <c r="O118" s="23"/>
    </row>
    <row r="119" spans="1:15" s="24" customFormat="1" ht="31.2">
      <c r="A119" s="16" t="s">
        <v>124</v>
      </c>
      <c r="B119" s="15" t="s">
        <v>319</v>
      </c>
      <c r="C119" s="15"/>
      <c r="D119" s="15" t="s">
        <v>379</v>
      </c>
      <c r="E119" s="15" t="s">
        <v>125</v>
      </c>
      <c r="F119" s="15" t="s">
        <v>3</v>
      </c>
      <c r="G119" s="22"/>
      <c r="H119" s="22">
        <v>1</v>
      </c>
      <c r="I119" s="22"/>
      <c r="J119" s="15"/>
      <c r="K119" s="15"/>
      <c r="L119" s="15"/>
      <c r="M119" s="15"/>
      <c r="N119" s="15"/>
      <c r="O119" s="23"/>
    </row>
    <row r="120" spans="1:15" s="24" customFormat="1" ht="31.2">
      <c r="A120" s="16"/>
      <c r="B120" s="15" t="s">
        <v>387</v>
      </c>
      <c r="C120" s="15"/>
      <c r="D120" s="15"/>
      <c r="E120" s="15" t="s">
        <v>164</v>
      </c>
      <c r="F120" s="15" t="s">
        <v>3</v>
      </c>
      <c r="G120" s="22"/>
      <c r="H120" s="22"/>
      <c r="I120" s="22"/>
      <c r="J120" s="22" t="s">
        <v>165</v>
      </c>
      <c r="K120" s="15"/>
      <c r="L120" s="15"/>
      <c r="M120" s="15"/>
      <c r="N120" s="15"/>
      <c r="O120" s="23"/>
    </row>
    <row r="121" spans="1:15" s="24" customFormat="1" ht="31.2">
      <c r="A121" s="16"/>
      <c r="B121" s="15" t="s">
        <v>388</v>
      </c>
      <c r="C121" s="15"/>
      <c r="D121" s="15"/>
      <c r="E121" s="15" t="s">
        <v>164</v>
      </c>
      <c r="F121" s="15" t="s">
        <v>3</v>
      </c>
      <c r="G121" s="22"/>
      <c r="H121" s="22"/>
      <c r="I121" s="22"/>
      <c r="J121" s="22" t="s">
        <v>320</v>
      </c>
      <c r="K121" s="15"/>
      <c r="L121" s="15"/>
      <c r="M121" s="15"/>
      <c r="N121" s="15"/>
      <c r="O121" s="23"/>
    </row>
    <row r="122" spans="1:15" s="24" customFormat="1" ht="31.2">
      <c r="A122" s="16"/>
      <c r="B122" s="15" t="s">
        <v>321</v>
      </c>
      <c r="C122" s="15"/>
      <c r="D122" s="15" t="s">
        <v>166</v>
      </c>
      <c r="E122" s="15" t="s">
        <v>164</v>
      </c>
      <c r="F122" s="15" t="s">
        <v>3</v>
      </c>
      <c r="G122" s="22"/>
      <c r="H122" s="22"/>
      <c r="I122" s="22"/>
      <c r="J122" s="22" t="s">
        <v>165</v>
      </c>
      <c r="K122" s="15"/>
      <c r="L122" s="15"/>
      <c r="M122" s="15"/>
      <c r="N122" s="15"/>
      <c r="O122" s="23"/>
    </row>
    <row r="123" spans="1:15" s="21" customFormat="1">
      <c r="A123" s="17">
        <v>8</v>
      </c>
      <c r="B123" s="18" t="s">
        <v>169</v>
      </c>
      <c r="C123" s="18"/>
      <c r="D123" s="18"/>
      <c r="E123" s="18"/>
      <c r="F123" s="18"/>
      <c r="G123" s="19"/>
      <c r="H123" s="19"/>
      <c r="I123" s="19"/>
      <c r="J123" s="18"/>
      <c r="K123" s="18"/>
      <c r="L123" s="18"/>
      <c r="M123" s="18"/>
      <c r="N123" s="18"/>
      <c r="O123" s="20"/>
    </row>
    <row r="124" spans="1:15" s="24" customFormat="1" ht="62.4">
      <c r="A124" s="16" t="s">
        <v>176</v>
      </c>
      <c r="B124" s="15" t="s">
        <v>173</v>
      </c>
      <c r="C124" s="15" t="s">
        <v>393</v>
      </c>
      <c r="D124" s="15" t="s">
        <v>175</v>
      </c>
      <c r="E124" s="15" t="s">
        <v>168</v>
      </c>
      <c r="F124" s="15" t="s">
        <v>3</v>
      </c>
      <c r="G124" s="22"/>
      <c r="H124" s="22">
        <v>5</v>
      </c>
      <c r="I124" s="22"/>
      <c r="J124" s="15"/>
      <c r="K124" s="22"/>
      <c r="L124" s="15"/>
      <c r="M124" s="15"/>
      <c r="N124" s="15"/>
      <c r="O124" s="23"/>
    </row>
    <row r="125" spans="1:15" s="24" customFormat="1" ht="78">
      <c r="A125" s="16" t="s">
        <v>177</v>
      </c>
      <c r="B125" s="15" t="s">
        <v>171</v>
      </c>
      <c r="C125" s="15" t="s">
        <v>394</v>
      </c>
      <c r="D125" s="15" t="s">
        <v>167</v>
      </c>
      <c r="E125" s="15" t="s">
        <v>168</v>
      </c>
      <c r="F125" s="15" t="s">
        <v>3</v>
      </c>
      <c r="G125" s="22"/>
      <c r="H125" s="22">
        <v>5</v>
      </c>
      <c r="I125" s="22"/>
      <c r="J125" s="15"/>
      <c r="K125" s="22"/>
      <c r="L125" s="15"/>
      <c r="M125" s="15"/>
      <c r="N125" s="15"/>
      <c r="O125" s="23"/>
    </row>
    <row r="126" spans="1:15" s="28" customFormat="1" ht="13.2">
      <c r="A126" s="25" t="s">
        <v>178</v>
      </c>
      <c r="B126" s="26" t="s">
        <v>384</v>
      </c>
      <c r="C126" s="26"/>
      <c r="D126" s="29" t="s">
        <v>385</v>
      </c>
      <c r="E126" s="26" t="s">
        <v>386</v>
      </c>
      <c r="F126" s="26" t="s">
        <v>3</v>
      </c>
      <c r="G126" s="27"/>
      <c r="H126" s="27">
        <v>4</v>
      </c>
      <c r="I126" s="25"/>
      <c r="J126" s="26"/>
      <c r="K126" s="30"/>
    </row>
    <row r="127" spans="1:15" s="24" customFormat="1">
      <c r="A127" s="16"/>
      <c r="B127" s="15" t="s">
        <v>170</v>
      </c>
      <c r="C127" s="15" t="s">
        <v>322</v>
      </c>
      <c r="D127" s="15"/>
      <c r="E127" s="15" t="s">
        <v>114</v>
      </c>
      <c r="F127" s="15" t="s">
        <v>3</v>
      </c>
      <c r="G127" s="22"/>
      <c r="H127" s="22"/>
      <c r="I127" s="22"/>
      <c r="J127" s="15"/>
      <c r="K127" s="22">
        <v>1</v>
      </c>
      <c r="L127" s="15"/>
      <c r="M127" s="15"/>
      <c r="N127" s="15"/>
      <c r="O127" s="23"/>
    </row>
    <row r="128" spans="1:15" s="24" customFormat="1" ht="62.4">
      <c r="A128" s="16"/>
      <c r="B128" s="15" t="s">
        <v>323</v>
      </c>
      <c r="C128" s="15" t="s">
        <v>324</v>
      </c>
      <c r="D128" s="15"/>
      <c r="E128" s="15" t="s">
        <v>114</v>
      </c>
      <c r="F128" s="15" t="s">
        <v>3</v>
      </c>
      <c r="G128" s="22"/>
      <c r="H128" s="22"/>
      <c r="I128" s="22"/>
      <c r="J128" s="15"/>
      <c r="K128" s="22">
        <v>5</v>
      </c>
      <c r="L128" s="15"/>
      <c r="M128" s="15"/>
      <c r="N128" s="15"/>
      <c r="O128" s="23"/>
    </row>
    <row r="129" spans="1:15" s="24" customFormat="1">
      <c r="A129" s="16"/>
      <c r="B129" s="15" t="s">
        <v>325</v>
      </c>
      <c r="C129" s="15" t="s">
        <v>326</v>
      </c>
      <c r="D129" s="15"/>
      <c r="E129" s="15" t="s">
        <v>114</v>
      </c>
      <c r="F129" s="15" t="s">
        <v>3</v>
      </c>
      <c r="G129" s="22"/>
      <c r="H129" s="22"/>
      <c r="I129" s="22"/>
      <c r="J129" s="15"/>
      <c r="K129" s="22">
        <v>1</v>
      </c>
      <c r="L129" s="15"/>
      <c r="M129" s="15"/>
      <c r="N129" s="15"/>
      <c r="O129" s="23"/>
    </row>
    <row r="130" spans="1:15" s="24" customFormat="1">
      <c r="A130" s="16"/>
      <c r="B130" s="15" t="s">
        <v>327</v>
      </c>
      <c r="C130" s="15" t="s">
        <v>326</v>
      </c>
      <c r="D130" s="15"/>
      <c r="E130" s="15" t="s">
        <v>114</v>
      </c>
      <c r="F130" s="15" t="s">
        <v>3</v>
      </c>
      <c r="G130" s="22"/>
      <c r="H130" s="22"/>
      <c r="I130" s="22"/>
      <c r="J130" s="15"/>
      <c r="K130" s="22">
        <v>1</v>
      </c>
      <c r="L130" s="15"/>
      <c r="M130" s="15"/>
      <c r="N130" s="15"/>
      <c r="O130" s="23"/>
    </row>
    <row r="131" spans="1:15" s="24" customFormat="1">
      <c r="A131" s="16"/>
      <c r="B131" s="15" t="s">
        <v>328</v>
      </c>
      <c r="C131" s="15" t="s">
        <v>329</v>
      </c>
      <c r="D131" s="15"/>
      <c r="E131" s="15" t="s">
        <v>114</v>
      </c>
      <c r="F131" s="15" t="s">
        <v>3</v>
      </c>
      <c r="G131" s="22"/>
      <c r="H131" s="22"/>
      <c r="I131" s="22"/>
      <c r="J131" s="15"/>
      <c r="K131" s="22">
        <v>1</v>
      </c>
      <c r="L131" s="15"/>
      <c r="M131" s="15"/>
      <c r="N131" s="15"/>
      <c r="O131" s="23"/>
    </row>
    <row r="132" spans="1:15" s="24" customFormat="1">
      <c r="A132" s="16"/>
      <c r="B132" s="15" t="s">
        <v>330</v>
      </c>
      <c r="C132" s="15" t="s">
        <v>331</v>
      </c>
      <c r="D132" s="15"/>
      <c r="E132" s="15" t="s">
        <v>114</v>
      </c>
      <c r="F132" s="15" t="s">
        <v>3</v>
      </c>
      <c r="G132" s="22"/>
      <c r="H132" s="22"/>
      <c r="I132" s="22"/>
      <c r="J132" s="15"/>
      <c r="K132" s="22">
        <v>1</v>
      </c>
      <c r="L132" s="15"/>
      <c r="M132" s="15"/>
      <c r="N132" s="15"/>
      <c r="O132" s="23"/>
    </row>
    <row r="133" spans="1:15" s="24" customFormat="1" ht="31.2">
      <c r="A133" s="16"/>
      <c r="B133" s="15" t="s">
        <v>332</v>
      </c>
      <c r="C133" s="15" t="s">
        <v>333</v>
      </c>
      <c r="D133" s="15"/>
      <c r="E133" s="15" t="s">
        <v>114</v>
      </c>
      <c r="F133" s="15" t="s">
        <v>3</v>
      </c>
      <c r="G133" s="22"/>
      <c r="H133" s="22"/>
      <c r="I133" s="22"/>
      <c r="J133" s="15"/>
      <c r="K133" s="22">
        <v>2</v>
      </c>
      <c r="L133" s="15"/>
      <c r="M133" s="15"/>
      <c r="N133" s="15"/>
      <c r="O133" s="23"/>
    </row>
    <row r="134" spans="1:15" s="24" customFormat="1">
      <c r="A134" s="16"/>
      <c r="B134" s="15" t="s">
        <v>334</v>
      </c>
      <c r="C134" s="15" t="s">
        <v>331</v>
      </c>
      <c r="D134" s="15"/>
      <c r="E134" s="15" t="s">
        <v>114</v>
      </c>
      <c r="F134" s="15" t="s">
        <v>3</v>
      </c>
      <c r="G134" s="22"/>
      <c r="H134" s="22"/>
      <c r="I134" s="22"/>
      <c r="J134" s="15"/>
      <c r="K134" s="22">
        <v>1</v>
      </c>
      <c r="L134" s="15"/>
      <c r="M134" s="15"/>
      <c r="N134" s="15"/>
      <c r="O134" s="23"/>
    </row>
    <row r="135" spans="1:15" s="24" customFormat="1">
      <c r="A135" s="16"/>
      <c r="B135" s="15" t="s">
        <v>335</v>
      </c>
      <c r="C135" s="15" t="s">
        <v>331</v>
      </c>
      <c r="D135" s="15"/>
      <c r="E135" s="15" t="s">
        <v>114</v>
      </c>
      <c r="F135" s="15" t="s">
        <v>3</v>
      </c>
      <c r="G135" s="22"/>
      <c r="H135" s="22"/>
      <c r="I135" s="22"/>
      <c r="J135" s="15"/>
      <c r="K135" s="22">
        <v>1</v>
      </c>
      <c r="L135" s="15"/>
      <c r="M135" s="15"/>
      <c r="N135" s="15"/>
      <c r="O135" s="23"/>
    </row>
    <row r="136" spans="1:15" s="24" customFormat="1">
      <c r="A136" s="16"/>
      <c r="B136" s="15" t="s">
        <v>336</v>
      </c>
      <c r="C136" s="15" t="s">
        <v>337</v>
      </c>
      <c r="D136" s="15"/>
      <c r="E136" s="15" t="s">
        <v>114</v>
      </c>
      <c r="F136" s="15" t="s">
        <v>3</v>
      </c>
      <c r="G136" s="22"/>
      <c r="H136" s="22"/>
      <c r="I136" s="22"/>
      <c r="J136" s="15"/>
      <c r="K136" s="22">
        <v>1</v>
      </c>
      <c r="L136" s="15"/>
      <c r="M136" s="15"/>
      <c r="N136" s="15"/>
      <c r="O136" s="23"/>
    </row>
    <row r="137" spans="1:15" s="24" customFormat="1">
      <c r="A137" s="16"/>
      <c r="B137" s="15" t="s">
        <v>338</v>
      </c>
      <c r="C137" s="15" t="s">
        <v>339</v>
      </c>
      <c r="D137" s="15"/>
      <c r="E137" s="15" t="s">
        <v>114</v>
      </c>
      <c r="F137" s="15" t="s">
        <v>3</v>
      </c>
      <c r="G137" s="22"/>
      <c r="H137" s="22"/>
      <c r="I137" s="22"/>
      <c r="J137" s="15"/>
      <c r="K137" s="22">
        <v>2</v>
      </c>
      <c r="L137" s="15"/>
      <c r="M137" s="15"/>
      <c r="N137" s="15"/>
      <c r="O137" s="23"/>
    </row>
    <row r="138" spans="1:15" s="24" customFormat="1">
      <c r="A138" s="16"/>
      <c r="B138" s="15" t="s">
        <v>340</v>
      </c>
      <c r="C138" s="15" t="s">
        <v>341</v>
      </c>
      <c r="D138" s="15"/>
      <c r="E138" s="15" t="s">
        <v>114</v>
      </c>
      <c r="F138" s="15" t="s">
        <v>3</v>
      </c>
      <c r="G138" s="22"/>
      <c r="H138" s="22"/>
      <c r="I138" s="22"/>
      <c r="J138" s="15"/>
      <c r="K138" s="22">
        <v>1</v>
      </c>
      <c r="L138" s="15"/>
      <c r="M138" s="15"/>
      <c r="N138" s="15"/>
      <c r="O138" s="23"/>
    </row>
    <row r="139" spans="1:15" s="24" customFormat="1" ht="31.2">
      <c r="A139" s="16"/>
      <c r="B139" s="15" t="s">
        <v>342</v>
      </c>
      <c r="C139" s="15" t="s">
        <v>343</v>
      </c>
      <c r="D139" s="15"/>
      <c r="E139" s="15" t="s">
        <v>114</v>
      </c>
      <c r="F139" s="15" t="s">
        <v>3</v>
      </c>
      <c r="G139" s="22"/>
      <c r="H139" s="22"/>
      <c r="I139" s="22"/>
      <c r="J139" s="15"/>
      <c r="K139" s="22">
        <v>3</v>
      </c>
      <c r="L139" s="15"/>
      <c r="M139" s="15"/>
      <c r="N139" s="15"/>
      <c r="O139" s="23"/>
    </row>
    <row r="140" spans="1:15" s="24" customFormat="1" ht="31.2">
      <c r="A140" s="16"/>
      <c r="B140" s="15" t="s">
        <v>344</v>
      </c>
      <c r="C140" s="15" t="s">
        <v>345</v>
      </c>
      <c r="D140" s="15"/>
      <c r="E140" s="15" t="s">
        <v>114</v>
      </c>
      <c r="F140" s="15" t="s">
        <v>3</v>
      </c>
      <c r="G140" s="22"/>
      <c r="H140" s="22"/>
      <c r="I140" s="22"/>
      <c r="J140" s="15"/>
      <c r="K140" s="22">
        <v>5</v>
      </c>
      <c r="L140" s="15"/>
      <c r="M140" s="15"/>
      <c r="N140" s="15"/>
      <c r="O140" s="23"/>
    </row>
    <row r="141" spans="1:15" s="24" customFormat="1">
      <c r="A141" s="16"/>
      <c r="B141" s="15" t="s">
        <v>346</v>
      </c>
      <c r="C141" s="15" t="s">
        <v>347</v>
      </c>
      <c r="D141" s="15"/>
      <c r="E141" s="15" t="s">
        <v>114</v>
      </c>
      <c r="F141" s="15" t="s">
        <v>3</v>
      </c>
      <c r="G141" s="22"/>
      <c r="H141" s="22"/>
      <c r="I141" s="22"/>
      <c r="J141" s="15"/>
      <c r="K141" s="22">
        <v>1</v>
      </c>
      <c r="L141" s="15"/>
      <c r="M141" s="15"/>
      <c r="N141" s="15"/>
      <c r="O141" s="23"/>
    </row>
    <row r="142" spans="1:15" s="24" customFormat="1">
      <c r="A142" s="16"/>
      <c r="B142" s="15" t="s">
        <v>348</v>
      </c>
      <c r="C142" s="15" t="s">
        <v>349</v>
      </c>
      <c r="D142" s="15"/>
      <c r="E142" s="15" t="s">
        <v>114</v>
      </c>
      <c r="F142" s="15" t="s">
        <v>3</v>
      </c>
      <c r="G142" s="22"/>
      <c r="H142" s="22"/>
      <c r="I142" s="22"/>
      <c r="J142" s="15"/>
      <c r="K142" s="22">
        <v>2</v>
      </c>
      <c r="L142" s="15"/>
      <c r="M142" s="15"/>
      <c r="N142" s="15"/>
      <c r="O142" s="23"/>
    </row>
    <row r="143" spans="1:15" s="24" customFormat="1">
      <c r="A143" s="16"/>
      <c r="B143" s="15" t="s">
        <v>350</v>
      </c>
      <c r="C143" s="15" t="s">
        <v>349</v>
      </c>
      <c r="D143" s="15"/>
      <c r="E143" s="15" t="s">
        <v>114</v>
      </c>
      <c r="F143" s="15" t="s">
        <v>3</v>
      </c>
      <c r="G143" s="22"/>
      <c r="H143" s="22"/>
      <c r="I143" s="22"/>
      <c r="J143" s="15"/>
      <c r="K143" s="22">
        <v>2</v>
      </c>
      <c r="L143" s="15"/>
      <c r="M143" s="15"/>
      <c r="N143" s="15"/>
      <c r="O143" s="23"/>
    </row>
    <row r="144" spans="1:15" s="24" customFormat="1">
      <c r="A144" s="16"/>
      <c r="B144" s="15" t="s">
        <v>351</v>
      </c>
      <c r="C144" s="15" t="s">
        <v>352</v>
      </c>
      <c r="D144" s="15"/>
      <c r="E144" s="15" t="s">
        <v>114</v>
      </c>
      <c r="F144" s="15" t="s">
        <v>3</v>
      </c>
      <c r="G144" s="22"/>
      <c r="H144" s="22"/>
      <c r="I144" s="22"/>
      <c r="J144" s="15"/>
      <c r="K144" s="22">
        <v>1</v>
      </c>
      <c r="L144" s="15"/>
      <c r="M144" s="15"/>
      <c r="N144" s="15"/>
      <c r="O144" s="23"/>
    </row>
    <row r="145" spans="1:15" s="24" customFormat="1" ht="31.2">
      <c r="A145" s="16"/>
      <c r="B145" s="15" t="s">
        <v>353</v>
      </c>
      <c r="C145" s="15" t="s">
        <v>354</v>
      </c>
      <c r="D145" s="15"/>
      <c r="E145" s="15" t="s">
        <v>114</v>
      </c>
      <c r="F145" s="15" t="s">
        <v>3</v>
      </c>
      <c r="G145" s="22"/>
      <c r="H145" s="22"/>
      <c r="I145" s="22"/>
      <c r="J145" s="15"/>
      <c r="K145" s="22">
        <v>3</v>
      </c>
      <c r="L145" s="15"/>
      <c r="M145" s="15"/>
      <c r="N145" s="15"/>
      <c r="O145" s="23"/>
    </row>
    <row r="146" spans="1:15" s="24" customFormat="1" ht="62.4">
      <c r="A146" s="16"/>
      <c r="B146" s="15" t="s">
        <v>355</v>
      </c>
      <c r="C146" s="15" t="s">
        <v>356</v>
      </c>
      <c r="D146" s="15"/>
      <c r="E146" s="15" t="s">
        <v>114</v>
      </c>
      <c r="F146" s="15" t="s">
        <v>3</v>
      </c>
      <c r="G146" s="22"/>
      <c r="H146" s="22"/>
      <c r="I146" s="22"/>
      <c r="J146" s="15"/>
      <c r="K146" s="22">
        <v>5</v>
      </c>
      <c r="L146" s="15"/>
      <c r="M146" s="15"/>
      <c r="N146" s="15"/>
      <c r="O146" s="23"/>
    </row>
    <row r="147" spans="1:15" s="24" customFormat="1">
      <c r="A147" s="16"/>
      <c r="B147" s="15" t="s">
        <v>357</v>
      </c>
      <c r="C147" s="15" t="s">
        <v>358</v>
      </c>
      <c r="D147" s="15"/>
      <c r="E147" s="15" t="s">
        <v>114</v>
      </c>
      <c r="F147" s="15" t="s">
        <v>3</v>
      </c>
      <c r="G147" s="22"/>
      <c r="H147" s="22"/>
      <c r="I147" s="22"/>
      <c r="J147" s="15"/>
      <c r="K147" s="22">
        <v>2</v>
      </c>
      <c r="L147" s="15"/>
      <c r="M147" s="15"/>
      <c r="N147" s="15"/>
      <c r="O147" s="23"/>
    </row>
    <row r="148" spans="1:15" s="24" customFormat="1">
      <c r="A148" s="16"/>
      <c r="B148" s="15" t="s">
        <v>359</v>
      </c>
      <c r="C148" s="15" t="s">
        <v>360</v>
      </c>
      <c r="D148" s="15"/>
      <c r="E148" s="15" t="s">
        <v>114</v>
      </c>
      <c r="F148" s="15" t="s">
        <v>3</v>
      </c>
      <c r="G148" s="22"/>
      <c r="H148" s="22"/>
      <c r="I148" s="22"/>
      <c r="J148" s="15"/>
      <c r="K148" s="22">
        <v>1</v>
      </c>
      <c r="L148" s="15"/>
      <c r="M148" s="15"/>
      <c r="N148" s="15"/>
      <c r="O148" s="23"/>
    </row>
    <row r="149" spans="1:15" s="24" customFormat="1">
      <c r="A149" s="16"/>
      <c r="B149" s="15" t="s">
        <v>361</v>
      </c>
      <c r="C149" s="15" t="s">
        <v>362</v>
      </c>
      <c r="D149" s="15" t="s">
        <v>363</v>
      </c>
      <c r="E149" s="15" t="s">
        <v>114</v>
      </c>
      <c r="F149" s="15" t="s">
        <v>3</v>
      </c>
      <c r="G149" s="22"/>
      <c r="H149" s="22"/>
      <c r="I149" s="22"/>
      <c r="J149" s="15"/>
      <c r="K149" s="22">
        <v>2</v>
      </c>
      <c r="L149" s="15"/>
      <c r="M149" s="15"/>
      <c r="N149" s="15"/>
      <c r="O149" s="23"/>
    </row>
    <row r="150" spans="1:15" s="24" customFormat="1" ht="78">
      <c r="A150" s="16"/>
      <c r="B150" s="15" t="s">
        <v>364</v>
      </c>
      <c r="C150" s="15" t="s">
        <v>365</v>
      </c>
      <c r="D150" s="15" t="s">
        <v>366</v>
      </c>
      <c r="E150" s="15" t="s">
        <v>114</v>
      </c>
      <c r="F150" s="15" t="s">
        <v>3</v>
      </c>
      <c r="G150" s="22"/>
      <c r="H150" s="22"/>
      <c r="I150" s="22"/>
      <c r="J150" s="15"/>
      <c r="K150" s="22">
        <v>4</v>
      </c>
      <c r="L150" s="15"/>
      <c r="M150" s="15"/>
      <c r="N150" s="15"/>
      <c r="O150" s="23"/>
    </row>
    <row r="151" spans="1:15" s="24" customFormat="1" ht="93.6">
      <c r="A151" s="16"/>
      <c r="B151" s="15" t="s">
        <v>367</v>
      </c>
      <c r="C151" s="15" t="s">
        <v>368</v>
      </c>
      <c r="D151" s="15" t="s">
        <v>369</v>
      </c>
      <c r="E151" s="15" t="s">
        <v>114</v>
      </c>
      <c r="F151" s="15" t="s">
        <v>3</v>
      </c>
      <c r="G151" s="22"/>
      <c r="H151" s="22"/>
      <c r="I151" s="22"/>
      <c r="J151" s="15"/>
      <c r="K151" s="22">
        <v>7</v>
      </c>
      <c r="L151" s="15"/>
      <c r="M151" s="15"/>
      <c r="N151" s="15"/>
      <c r="O151" s="23"/>
    </row>
    <row r="152" spans="1:15" s="24" customFormat="1">
      <c r="A152" s="16"/>
      <c r="B152" s="15" t="s">
        <v>370</v>
      </c>
      <c r="C152" s="15" t="s">
        <v>289</v>
      </c>
      <c r="D152" s="15" t="s">
        <v>371</v>
      </c>
      <c r="E152" s="15" t="s">
        <v>114</v>
      </c>
      <c r="F152" s="15" t="s">
        <v>3</v>
      </c>
      <c r="G152" s="22"/>
      <c r="H152" s="22"/>
      <c r="I152" s="22"/>
      <c r="J152" s="15"/>
      <c r="K152" s="22">
        <v>6</v>
      </c>
      <c r="L152" s="15"/>
      <c r="M152" s="15"/>
      <c r="N152" s="15"/>
      <c r="O152" s="23"/>
    </row>
    <row r="153" spans="1:15" s="24" customFormat="1" ht="31.2">
      <c r="A153" s="16"/>
      <c r="B153" s="15" t="s">
        <v>372</v>
      </c>
      <c r="C153" s="15" t="s">
        <v>291</v>
      </c>
      <c r="D153" s="15" t="s">
        <v>373</v>
      </c>
      <c r="E153" s="15" t="s">
        <v>114</v>
      </c>
      <c r="F153" s="15" t="s">
        <v>3</v>
      </c>
      <c r="G153" s="22"/>
      <c r="H153" s="22"/>
      <c r="I153" s="22"/>
      <c r="J153" s="15"/>
      <c r="K153" s="22">
        <v>2</v>
      </c>
      <c r="L153" s="15"/>
      <c r="M153" s="15"/>
      <c r="N153" s="15"/>
      <c r="O153" s="23"/>
    </row>
  </sheetData>
  <autoFilter ref="A2:XEM153"/>
  <mergeCells count="12">
    <mergeCell ref="F1:F2"/>
    <mergeCell ref="C1:C2"/>
    <mergeCell ref="A1:A2"/>
    <mergeCell ref="B1:B2"/>
    <mergeCell ref="D1:D2"/>
    <mergeCell ref="E1:E2"/>
    <mergeCell ref="L1:O1"/>
    <mergeCell ref="P1:P2"/>
    <mergeCell ref="G1:H1"/>
    <mergeCell ref="J1:J2"/>
    <mergeCell ref="K1:K2"/>
    <mergeCell ref="I1:I2"/>
  </mergeCells>
  <phoneticPr fontId="23" type="noConversion"/>
  <conditionalFormatting sqref="A4:XFD4 B15:XFD16 A127:XFD153 A6 A8 A10 A12 A14 A16 A17:XFD125">
    <cfRule type="expression" dxfId="6" priority="19">
      <formula>$G4&lt;&gt;$H4</formula>
    </cfRule>
  </conditionalFormatting>
  <conditionalFormatting sqref="A5:XFD5 B6:XFD7 B9:XFD11 B13:XFD14 A7 A9 A11 A13 A15">
    <cfRule type="expression" dxfId="5" priority="12">
      <formula>$G5&lt;&gt;$H5</formula>
    </cfRule>
  </conditionalFormatting>
  <conditionalFormatting sqref="A3:XFD3">
    <cfRule type="expression" dxfId="4" priority="10">
      <formula>$G3&lt;&gt;$H3</formula>
    </cfRule>
  </conditionalFormatting>
  <conditionalFormatting sqref="B8:XFD8">
    <cfRule type="expression" dxfId="3" priority="3">
      <formula>$G8&lt;&gt;$H8</formula>
    </cfRule>
  </conditionalFormatting>
  <conditionalFormatting sqref="A126:XFD126">
    <cfRule type="expression" dxfId="2" priority="2">
      <formula>$G126&lt;&gt;$H126</formula>
    </cfRule>
  </conditionalFormatting>
  <conditionalFormatting sqref="B12:XFD12">
    <cfRule type="expression" dxfId="1" priority="1">
      <formula>$G12&lt;&gt;$H12</formula>
    </cfRule>
  </conditionalFormatting>
  <dataValidations count="1">
    <dataValidation type="custom" allowBlank="1" showInputMessage="1" showErrorMessage="1" error="Mã trùng _x000a_Kiểm tra lại " sqref="D97:D98">
      <formula1>COUNTIF(D:D,D97)=1</formula1>
    </dataValidation>
  </dataValidations>
  <pageMargins left="0.39370078740157483" right="0.19685039370078741" top="0.39370078740157483" bottom="0.39370078740157483" header="0.19685039370078741" footer="0.19685039370078741"/>
  <pageSetup paperSize="9" scale="59" fitToHeight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adhuongbt</dc:creator>
  <cp:lastModifiedBy>PHUONGNMAC</cp:lastModifiedBy>
  <cp:lastPrinted>2021-06-09T01:55:19Z</cp:lastPrinted>
  <dcterms:created xsi:type="dcterms:W3CDTF">2010-09-08T03:45:18Z</dcterms:created>
  <dcterms:modified xsi:type="dcterms:W3CDTF">2025-12-04T09:23:06Z</dcterms:modified>
</cp:coreProperties>
</file>