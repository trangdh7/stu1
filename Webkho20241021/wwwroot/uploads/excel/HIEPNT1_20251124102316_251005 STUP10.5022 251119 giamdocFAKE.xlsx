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337E2C-B802-4B65-ADD5-CE7F7706B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8" l="1"/>
  <c r="T45" i="8"/>
</calcChain>
</file>

<file path=xl/sharedStrings.xml><?xml version="1.0" encoding="utf-8"?>
<sst xmlns="http://schemas.openxmlformats.org/spreadsheetml/2006/main" count="167" uniqueCount="147">
  <si>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</si>
  <si>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</si>
  <si>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</si>
  <si>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</si>
  <si>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</si>
  <si>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</si>
  <si>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</si>
  <si>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</si>
  <si>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</si>
  <si>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</si>
  <si>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</si>
  <si>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</si>
  <si>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Khí nén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</si>
  <si>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</si>
  <si>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</si>
  <si>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</si>
  <si>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</si>
  <si>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</si>
  <si>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</si>
  <si>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</si>
  <si>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</si>
  <si>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</si>
  <si>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</si>
  <si>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</si>
  <si>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</si>
  <si>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</si>
  <si>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</si>
  <si>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</si>
  <si>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</si>
  <si>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</si>
  <si>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</si>
  <si>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</si>
  <si>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</si>
  <si>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</si>
  <si>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</si>
  <si>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</si>
  <si>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</si>
  <si>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</si>
  <si>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</si>
  <si>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</si>
  <si>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Relay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</si>
  <si>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</si>
  <si>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</si>
  <si>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</si>
  <si>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</si>
  <si>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</si>
  <si>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</si>
  <si>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</si>
  <si>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</si>
  <si>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</si>
  <si>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</si>
  <si>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</si>
  <si>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</si>
  <si>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</si>
  <si>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</si>
  <si>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</si>
  <si>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</si>
  <si>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</si>
  <si>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</si>
  <si>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</si>
  <si>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</si>
  <si>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</si>
  <si>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</si>
  <si>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</si>
  <si>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</si>
  <si>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</si>
  <si>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</si>
  <si>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</si>
  <si>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</si>
  <si>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</si>
  <si>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</si>
  <si>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</si>
  <si>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</si>
  <si>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</si>
  <si>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</si>
  <si>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</si>
  <si>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</si>
  <si>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</si>
  <si>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</si>
  <si>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</si>
  <si>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</si>
  <si>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</si>
  <si>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</si>
  <si>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</si>
  <si>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</si>
  <si>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</si>
  <si>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</si>
  <si>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</si>
  <si>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</si>
  <si>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</si>
  <si>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</si>
  <si>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</si>
  <si>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</si>
  <si>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</si>
  <si>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</si>
  <si>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</si>
  <si>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</si>
  <si>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</si>
  <si>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</si>
  <si>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</si>
  <si>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</si>
  <si>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</si>
  <si>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</si>
  <si>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</si>
  <si>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</si>
  <si>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</si>
  <si>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</si>
  <si>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</si>
  <si>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IDEC</t>
  </si>
  <si>
    <t>ELCB 2P 10A</t>
  </si>
  <si>
    <t>NV63-CV 2P 10A 30mA</t>
  </si>
  <si>
    <t>Mitsubishi</t>
  </si>
  <si>
    <t>Tay xoay kiểu V V-05SV</t>
  </si>
  <si>
    <t>V-05SV</t>
  </si>
  <si>
    <t>Tay nối dài kiểu V Option V-AD3S</t>
  </si>
  <si>
    <t>V-AD3S</t>
  </si>
  <si>
    <t>Nắp đậy ELCB NV63-CV 2P</t>
  </si>
  <si>
    <t>TCL-05SV3</t>
  </si>
  <si>
    <t>MCB 1P 6A</t>
  </si>
  <si>
    <t>BH-D6 1P 6A</t>
  </si>
  <si>
    <t>Biến áp cách ly 1 pha, 300VA</t>
  </si>
  <si>
    <t>NDK-300 VA</t>
  </si>
  <si>
    <t>Chint</t>
  </si>
  <si>
    <t>Bộ lọc nhiễu</t>
  </si>
  <si>
    <t>RSHN-2006</t>
  </si>
  <si>
    <t>TDK</t>
  </si>
  <si>
    <t>Bộ nguồn DC24/120W</t>
  </si>
  <si>
    <t>S8VK-G12024</t>
  </si>
  <si>
    <t>Omron</t>
  </si>
  <si>
    <t>Rơ le 5 chân, điện áp 24VDC</t>
  </si>
  <si>
    <t>RJ1S-CL-D24</t>
  </si>
  <si>
    <t>Đế rơ le 5 chân</t>
  </si>
  <si>
    <t>SJ1S-05BW</t>
  </si>
  <si>
    <t xml:space="preserve">IDEC </t>
  </si>
  <si>
    <t>Đế cầu chì</t>
  </si>
  <si>
    <t>DF101</t>
  </si>
  <si>
    <t>Schneider</t>
  </si>
  <si>
    <t>Cầu chì 1A cỡ 10 mm x 38mm</t>
  </si>
  <si>
    <t>TQ</t>
  </si>
  <si>
    <t>Cầu chì 2A cỡ 10 mm x 38mm</t>
  </si>
  <si>
    <t xml:space="preserve">Bộ điều khiển nhiệt </t>
  </si>
  <si>
    <t>JWT6011F</t>
  </si>
  <si>
    <t>Leipole</t>
  </si>
  <si>
    <t>Quạt tản nhiệt tủ điện 220V</t>
  </si>
  <si>
    <t>FKL6622.230</t>
  </si>
  <si>
    <t>Miệng lọc</t>
  </si>
  <si>
    <t>FKL6622.300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</si>
</sst>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1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5565913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E30" sqref="E30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0" t="s">
        <v>2</v>
      </c>
      <c r="B1" s="98" t="s">
        <v>5</v>
      </c>
      <c r="C1" s="98" t="s">
        <v>78</v>
      </c>
      <c r="D1" s="100" t="s">
        <v>79</v>
      </c>
      <c r="E1" s="98" t="s">
        <v>4</v>
      </c>
      <c r="F1" s="98" t="s">
        <v>0</v>
      </c>
      <c r="G1" s="98" t="s">
        <v>1</v>
      </c>
      <c r="H1" s="106" t="s">
        <v>6</v>
      </c>
      <c r="I1" s="107"/>
      <c r="J1" s="109" t="s">
        <v>107</v>
      </c>
      <c r="K1" s="100" t="s">
        <v>10</v>
      </c>
      <c r="L1" s="108" t="s">
        <v>11</v>
      </c>
      <c r="M1" s="102" t="s">
        <v>37</v>
      </c>
      <c r="N1" s="103"/>
      <c r="O1" s="103"/>
      <c r="P1" s="104"/>
      <c r="Q1" s="105" t="s">
        <v>40</v>
      </c>
    </row>
    <row r="2" spans="1:17" s="4" customFormat="1">
      <c r="A2" s="101">
        <v>1</v>
      </c>
      <c r="B2" s="99" t="s">
        <v>7</v>
      </c>
      <c r="C2" s="99"/>
      <c r="D2" s="101"/>
      <c r="E2" s="99"/>
      <c r="F2" s="99"/>
      <c r="G2" s="99"/>
      <c r="H2" s="2" t="s">
        <v>8</v>
      </c>
      <c r="I2" s="86" t="s">
        <v>9</v>
      </c>
      <c r="J2" s="110"/>
      <c r="K2" s="101"/>
      <c r="L2" s="108"/>
      <c r="M2" s="3" t="s">
        <v>35</v>
      </c>
      <c r="N2" s="3" t="s">
        <v>36</v>
      </c>
      <c r="O2" s="3" t="s">
        <v>39</v>
      </c>
      <c r="P2" s="3" t="s">
        <v>38</v>
      </c>
      <c r="Q2" s="105"/>
    </row>
    <row r="3" spans="1:17" s="10" customFormat="1">
      <c r="A3" s="5">
        <v>1</v>
      </c>
      <c r="B3" s="66" t="s">
        <v>12</v>
      </c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>
      <c r="A4" s="11" t="s">
        <v>13</v>
      </c>
      <c r="B4" s="70" t="s">
        <v>109</v>
      </c>
      <c r="C4" s="70"/>
      <c r="D4" s="36"/>
      <c r="E4" s="70" t="s">
        <v>110</v>
      </c>
      <c r="F4" s="70" t="s">
        <v>111</v>
      </c>
      <c r="G4" s="75" t="s">
        <v>3</v>
      </c>
      <c r="H4" s="14">
        <v>1</v>
      </c>
      <c r="I4" s="88">
        <v>1</v>
      </c>
      <c r="J4" s="88"/>
      <c r="K4" s="13"/>
      <c r="L4" s="15"/>
      <c r="M4" s="14"/>
      <c r="N4" s="14"/>
      <c r="O4" s="14"/>
      <c r="P4" s="14"/>
      <c r="Q4" s="16"/>
    </row>
    <row r="5" spans="1:17" s="17" customFormat="1">
      <c r="A5" s="11" t="s">
        <v>14</v>
      </c>
      <c r="B5" s="70" t="s">
        <v>112</v>
      </c>
      <c r="C5" s="70"/>
      <c r="D5" s="36"/>
      <c r="E5" s="70" t="s">
        <v>113</v>
      </c>
      <c r="F5" s="70" t="s">
        <v>111</v>
      </c>
      <c r="G5" s="75"/>
      <c r="H5" s="14">
        <v>1</v>
      </c>
      <c r="I5" s="88">
        <v>1</v>
      </c>
      <c r="J5" s="88"/>
      <c r="K5" s="13"/>
      <c r="L5" s="15"/>
      <c r="M5" s="14"/>
      <c r="N5" s="14"/>
      <c r="O5" s="14"/>
      <c r="P5" s="14"/>
      <c r="Q5" s="16"/>
    </row>
    <row r="6" spans="1:17" s="17" customFormat="1">
      <c r="A6" s="11" t="s">
        <v>15</v>
      </c>
      <c r="B6" s="70" t="s">
        <v>114</v>
      </c>
      <c r="C6" s="70"/>
      <c r="D6" s="36"/>
      <c r="E6" s="70" t="s">
        <v>115</v>
      </c>
      <c r="F6" s="70" t="s">
        <v>111</v>
      </c>
      <c r="G6" s="75"/>
      <c r="H6" s="14">
        <v>1</v>
      </c>
      <c r="I6" s="88">
        <v>1</v>
      </c>
      <c r="J6" s="88"/>
      <c r="K6" s="13"/>
      <c r="L6" s="15"/>
      <c r="M6" s="14"/>
      <c r="N6" s="14"/>
      <c r="O6" s="14"/>
      <c r="P6" s="14"/>
      <c r="Q6" s="16"/>
    </row>
    <row r="7" spans="1:17" s="17" customFormat="1">
      <c r="A7" s="11" t="s">
        <v>16</v>
      </c>
      <c r="B7" s="70" t="s">
        <v>116</v>
      </c>
      <c r="C7" s="70"/>
      <c r="D7" s="36"/>
      <c r="E7" s="70" t="s">
        <v>117</v>
      </c>
      <c r="F7" s="70" t="s">
        <v>111</v>
      </c>
      <c r="G7" s="75" t="s">
        <v>3</v>
      </c>
      <c r="H7" s="14">
        <v>1</v>
      </c>
      <c r="I7" s="88">
        <v>1</v>
      </c>
      <c r="J7" s="90"/>
      <c r="K7" s="28"/>
      <c r="L7" s="15"/>
      <c r="M7" s="14"/>
      <c r="N7" s="14"/>
      <c r="O7" s="14"/>
      <c r="P7" s="14"/>
      <c r="Q7" s="16">
        <v>2</v>
      </c>
    </row>
    <row r="8" spans="1:17" s="21" customFormat="1">
      <c r="A8" s="11" t="s">
        <v>17</v>
      </c>
      <c r="B8" s="70" t="s">
        <v>118</v>
      </c>
      <c r="C8" s="70"/>
      <c r="D8" s="36"/>
      <c r="E8" s="70" t="s">
        <v>119</v>
      </c>
      <c r="F8" s="70" t="s">
        <v>111</v>
      </c>
      <c r="G8" s="75" t="s">
        <v>3</v>
      </c>
      <c r="H8" s="14">
        <v>1</v>
      </c>
      <c r="I8" s="88">
        <v>1</v>
      </c>
      <c r="J8" s="89"/>
      <c r="K8" s="33"/>
      <c r="L8" s="19"/>
      <c r="M8" s="18"/>
      <c r="N8" s="18"/>
      <c r="O8" s="18"/>
      <c r="P8" s="18"/>
      <c r="Q8" s="20"/>
    </row>
    <row r="9" spans="1:17" s="17" customFormat="1">
      <c r="A9" s="11" t="s">
        <v>18</v>
      </c>
      <c r="B9" s="70" t="s">
        <v>120</v>
      </c>
      <c r="C9" s="70"/>
      <c r="D9" s="36"/>
      <c r="E9" s="70" t="s">
        <v>121</v>
      </c>
      <c r="F9" s="70" t="s">
        <v>122</v>
      </c>
      <c r="G9" s="75" t="s">
        <v>3</v>
      </c>
      <c r="H9" s="14">
        <v>1</v>
      </c>
      <c r="I9" s="88">
        <v>1</v>
      </c>
      <c r="J9" s="91"/>
      <c r="K9" s="37"/>
      <c r="L9" s="15"/>
      <c r="M9" s="14"/>
      <c r="N9" s="14"/>
      <c r="O9" s="14"/>
      <c r="P9" s="14"/>
      <c r="Q9" s="16"/>
    </row>
    <row r="10" spans="1:17" s="17" customFormat="1">
      <c r="A10" s="11" t="s">
        <v>19</v>
      </c>
      <c r="B10" s="70" t="s">
        <v>123</v>
      </c>
      <c r="C10" s="70"/>
      <c r="D10" s="36"/>
      <c r="E10" s="70" t="s">
        <v>124</v>
      </c>
      <c r="F10" s="70" t="s">
        <v>125</v>
      </c>
      <c r="G10" s="75" t="s">
        <v>3</v>
      </c>
      <c r="H10" s="14">
        <v>1</v>
      </c>
      <c r="I10" s="88">
        <v>1</v>
      </c>
      <c r="J10" s="87"/>
      <c r="K10" s="8"/>
      <c r="L10" s="15"/>
      <c r="M10" s="14"/>
      <c r="N10" s="14"/>
      <c r="O10" s="14"/>
      <c r="P10" s="14"/>
      <c r="Q10" s="16">
        <v>1</v>
      </c>
    </row>
    <row r="11" spans="1:17" s="17" customFormat="1">
      <c r="A11" s="11" t="s">
        <v>32</v>
      </c>
      <c r="B11" s="70" t="s">
        <v>126</v>
      </c>
      <c r="C11" s="70"/>
      <c r="D11" s="36"/>
      <c r="E11" s="70" t="s">
        <v>127</v>
      </c>
      <c r="F11" s="70" t="s">
        <v>128</v>
      </c>
      <c r="G11" s="75" t="s">
        <v>3</v>
      </c>
      <c r="H11" s="14">
        <v>1</v>
      </c>
      <c r="I11" s="88">
        <v>1</v>
      </c>
      <c r="J11" s="88"/>
      <c r="K11" s="37"/>
      <c r="L11" s="15"/>
      <c r="M11" s="14"/>
      <c r="N11" s="14"/>
      <c r="O11" s="14"/>
      <c r="P11" s="14"/>
      <c r="Q11" s="16"/>
    </row>
    <row r="12" spans="1:17" s="21" customFormat="1">
      <c r="A12" s="11" t="s">
        <v>20</v>
      </c>
      <c r="B12" s="70" t="s">
        <v>129</v>
      </c>
      <c r="C12" s="70"/>
      <c r="D12" s="36"/>
      <c r="E12" s="70" t="s">
        <v>130</v>
      </c>
      <c r="F12" s="70" t="s">
        <v>108</v>
      </c>
      <c r="G12" s="75" t="s">
        <v>3</v>
      </c>
      <c r="H12" s="14">
        <v>10</v>
      </c>
      <c r="I12" s="88">
        <v>10</v>
      </c>
      <c r="J12" s="88"/>
      <c r="K12" s="37"/>
      <c r="L12" s="19"/>
      <c r="M12" s="18"/>
      <c r="N12" s="18"/>
      <c r="O12" s="18"/>
      <c r="P12" s="18"/>
      <c r="Q12" s="20"/>
    </row>
    <row r="13" spans="1:17" s="17" customFormat="1">
      <c r="A13" s="11" t="s">
        <v>33</v>
      </c>
      <c r="B13" s="70" t="s">
        <v>131</v>
      </c>
      <c r="C13" s="70"/>
      <c r="D13" s="36"/>
      <c r="E13" s="70" t="s">
        <v>132</v>
      </c>
      <c r="F13" s="70" t="s">
        <v>133</v>
      </c>
      <c r="G13" s="75" t="s">
        <v>3</v>
      </c>
      <c r="H13" s="14">
        <v>10</v>
      </c>
      <c r="I13" s="88">
        <v>10</v>
      </c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34</v>
      </c>
      <c r="B14" s="70" t="s">
        <v>134</v>
      </c>
      <c r="C14" s="70"/>
      <c r="D14" s="36"/>
      <c r="E14" s="70" t="s">
        <v>135</v>
      </c>
      <c r="F14" s="70" t="s">
        <v>136</v>
      </c>
      <c r="G14" s="75" t="s">
        <v>3</v>
      </c>
      <c r="H14" s="14">
        <v>8</v>
      </c>
      <c r="I14" s="88">
        <v>8</v>
      </c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75</v>
      </c>
      <c r="B15" s="70" t="s">
        <v>137</v>
      </c>
      <c r="C15" s="70"/>
      <c r="D15" s="36"/>
      <c r="E15" s="70"/>
      <c r="F15" s="70" t="s">
        <v>138</v>
      </c>
      <c r="G15" s="75" t="s">
        <v>3</v>
      </c>
      <c r="H15" s="14">
        <v>5</v>
      </c>
      <c r="I15" s="88">
        <v>5</v>
      </c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76</v>
      </c>
      <c r="B16" s="70" t="s">
        <v>139</v>
      </c>
      <c r="C16" s="70"/>
      <c r="D16" s="36"/>
      <c r="E16" s="70"/>
      <c r="F16" s="70" t="s">
        <v>138</v>
      </c>
      <c r="G16" s="75" t="s">
        <v>3</v>
      </c>
      <c r="H16" s="14">
        <v>3</v>
      </c>
      <c r="I16" s="88">
        <v>3</v>
      </c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77</v>
      </c>
      <c r="B17" s="70" t="s">
        <v>140</v>
      </c>
      <c r="C17" s="70"/>
      <c r="D17" s="36"/>
      <c r="E17" s="70" t="s">
        <v>141</v>
      </c>
      <c r="F17" s="70" t="s">
        <v>142</v>
      </c>
      <c r="G17" s="75" t="s">
        <v>3</v>
      </c>
      <c r="H17" s="14">
        <v>1</v>
      </c>
      <c r="I17" s="88">
        <v>1</v>
      </c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80</v>
      </c>
      <c r="B18" s="70" t="s">
        <v>143</v>
      </c>
      <c r="C18" s="70"/>
      <c r="D18" s="36"/>
      <c r="E18" s="70" t="s">
        <v>144</v>
      </c>
      <c r="F18" s="70" t="s">
        <v>142</v>
      </c>
      <c r="G18" s="75" t="s">
        <v>3</v>
      </c>
      <c r="H18" s="14">
        <v>2</v>
      </c>
      <c r="I18" s="88">
        <v>2</v>
      </c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81</v>
      </c>
      <c r="B19" s="70" t="s">
        <v>145</v>
      </c>
      <c r="C19" s="70"/>
      <c r="D19" s="36"/>
      <c r="E19" s="70" t="s">
        <v>146</v>
      </c>
      <c r="F19" s="70" t="s">
        <v>142</v>
      </c>
      <c r="G19" s="75" t="s">
        <v>3</v>
      </c>
      <c r="H19" s="14">
        <v>2</v>
      </c>
      <c r="I19" s="88">
        <v>2</v>
      </c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82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83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84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85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101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102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103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104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105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21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>
        <v>3</v>
      </c>
    </row>
    <row r="31" spans="1:16368" s="39" customFormat="1">
      <c r="A31" s="35" t="s">
        <v>22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>
        <v>3</v>
      </c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23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>
        <v>0</v>
      </c>
    </row>
    <row r="34" spans="1:22" s="39" customFormat="1">
      <c r="A34" s="35" t="s">
        <v>25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>
        <v>0</v>
      </c>
    </row>
    <row r="35" spans="1:22" s="39" customFormat="1">
      <c r="A35" s="35" t="s">
        <v>27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28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24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29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30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41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42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43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44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45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46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47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>
        <v>0</v>
      </c>
      <c r="V47" s="39">
        <v>3</v>
      </c>
    </row>
    <row r="48" spans="1:22" s="39" customFormat="1">
      <c r="A48" s="35" t="s">
        <v>48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>
        <v>0</v>
      </c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>
        <f>SUM(Q3:Q48)</f>
        <v>9</v>
      </c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49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26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50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51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31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54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55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56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57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58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59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60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61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62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63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64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65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68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69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70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71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72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73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106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66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67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52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53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74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100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86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87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88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89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90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91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92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93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94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95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96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97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98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99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M1:P1"/>
    <mergeCell ref="Q1:Q2"/>
    <mergeCell ref="H1:I1"/>
    <mergeCell ref="K1:K2"/>
    <mergeCell ref="L1:L2"/>
    <mergeCell ref="J1:J2"/>
    <mergeCell ref="G1:G2"/>
    <mergeCell ref="C1:C2"/>
    <mergeCell ref="A1:A2"/>
    <mergeCell ref="B1:B2"/>
    <mergeCell ref="E1:E2"/>
    <mergeCell ref="F1:F2"/>
    <mergeCell ref="D1:D2"/>
  </mergeCells>
  <phoneticPr fontId="23" type="noConversion"/>
  <conditionalFormatting sqref="B60:B61">
    <cfRule type="duplicateValues" dxfId="6" priority="9"/>
  </conditionalFormatting>
  <conditionalFormatting sqref="E60:E61">
    <cfRule type="duplicateValues" dxfId="5" priority="7"/>
    <cfRule type="duplicateValues" dxfId="4" priority="8"/>
  </conditionalFormatting>
  <conditionalFormatting sqref="E75:F77">
    <cfRule type="expression" dxfId="3" priority="4">
      <formula>$H75&lt;&gt;$I75</formula>
    </cfRule>
  </conditionalFormatting>
  <conditionalFormatting sqref="B5:B6">
    <cfRule type="duplicateValues" dxfId="2" priority="3"/>
  </conditionalFormatting>
  <conditionalFormatting sqref="E5:E6">
    <cfRule type="duplicateValues" dxfId="1" priority="1"/>
    <cfRule type="duplicateValues" dxfId="0" priority="2"/>
  </conditionalFormatting>
  <dataValidations count="1">
    <dataValidation type="custom" allowBlank="1" showInputMessage="1" showErrorMessage="1" error="Mã trùng _x000a_Kiểm tra lại " sqref="E60:E61 E5:E6" xr:uid="{00000000-0002-0000-0000-000000000000}">
      <formula1>COUNTIF(E:E,E5)=1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2025-11-20T04:47:08Z</dcterms:modified>
</cp:coreProperties>
</file>